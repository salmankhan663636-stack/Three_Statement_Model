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7bf63bd8a528ee9/Financial modelling/Three_Statement_Model/"/>
    </mc:Choice>
  </mc:AlternateContent>
  <xr:revisionPtr revIDLastSave="1767" documentId="13_ncr:1_{71AC4F62-F3F6-2E4B-8F69-3E72AC5D7A2E}" xr6:coauthVersionLast="47" xr6:coauthVersionMax="47" xr10:uidLastSave="{A3AE406C-01DC-44AC-8DEB-7607206E2906}"/>
  <bookViews>
    <workbookView xWindow="-108" yWindow="-108" windowWidth="23256" windowHeight="12456" firstSheet="7" activeTab="8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  <sheet name="Assumption Data" sheetId="7" r:id="rId7"/>
    <sheet name="1M2026-TSM" sheetId="8" r:id="rId8"/>
    <sheet name="Assumption Dashboard" sheetId="10" r:id="rId9"/>
    <sheet name="TSM Dashboard" sheetId="11" r:id="rId10"/>
    <sheet name="Sheet1" sheetId="12" r:id="rId11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8" i="10" l="1"/>
  <c r="D28" i="10"/>
  <c r="E28" i="10"/>
  <c r="F28" i="10"/>
  <c r="L15" i="7"/>
  <c r="L17" i="7"/>
  <c r="C37" i="11"/>
  <c r="D37" i="11"/>
  <c r="E37" i="11"/>
  <c r="F37" i="11"/>
  <c r="G37" i="11"/>
  <c r="C36" i="11"/>
  <c r="C35" i="11"/>
  <c r="C34" i="11"/>
  <c r="C33" i="11"/>
  <c r="C32" i="11"/>
  <c r="K31" i="11"/>
  <c r="K30" i="11"/>
  <c r="K29" i="11"/>
  <c r="K28" i="11"/>
  <c r="K26" i="11"/>
  <c r="K25" i="11"/>
  <c r="K24" i="11"/>
  <c r="K23" i="11"/>
  <c r="K21" i="11"/>
  <c r="K20" i="11"/>
  <c r="K19" i="11"/>
  <c r="K18" i="11"/>
  <c r="C24" i="11"/>
  <c r="C25" i="11"/>
  <c r="C26" i="11"/>
  <c r="D26" i="11"/>
  <c r="C27" i="11"/>
  <c r="D27" i="11"/>
  <c r="C28" i="11"/>
  <c r="L12" i="11"/>
  <c r="K15" i="11"/>
  <c r="C16" i="11"/>
  <c r="D16" i="11"/>
  <c r="E16" i="11"/>
  <c r="F16" i="11"/>
  <c r="G16" i="11"/>
  <c r="C17" i="11"/>
  <c r="C18" i="11"/>
  <c r="C19" i="11"/>
  <c r="K9" i="11"/>
  <c r="C5" i="11"/>
  <c r="C6" i="11"/>
  <c r="C7" i="11"/>
  <c r="C8" i="11"/>
  <c r="D8" i="11"/>
  <c r="E8" i="11"/>
  <c r="F8" i="11"/>
  <c r="G8" i="11"/>
  <c r="C9" i="11"/>
  <c r="D10" i="11"/>
  <c r="E10" i="11"/>
  <c r="F10" i="11"/>
  <c r="G10" i="11"/>
  <c r="C11" i="11"/>
  <c r="C12" i="11"/>
  <c r="C13" i="11"/>
  <c r="I23" i="10"/>
  <c r="J23" i="10"/>
  <c r="K23" i="10"/>
  <c r="L23" i="10"/>
  <c r="M23" i="10"/>
  <c r="I24" i="10"/>
  <c r="J24" i="10"/>
  <c r="K24" i="10"/>
  <c r="L24" i="10"/>
  <c r="M24" i="10"/>
  <c r="I25" i="10"/>
  <c r="J25" i="10"/>
  <c r="K25" i="10"/>
  <c r="L25" i="10"/>
  <c r="M25" i="10"/>
  <c r="I26" i="10"/>
  <c r="J26" i="10"/>
  <c r="K26" i="10"/>
  <c r="L26" i="10"/>
  <c r="M26" i="10"/>
  <c r="C23" i="10"/>
  <c r="D23" i="10"/>
  <c r="E23" i="10"/>
  <c r="F23" i="10"/>
  <c r="C24" i="10"/>
  <c r="D24" i="10"/>
  <c r="E24" i="10"/>
  <c r="F24" i="10"/>
  <c r="C25" i="10"/>
  <c r="D25" i="10"/>
  <c r="E25" i="10"/>
  <c r="F25" i="10"/>
  <c r="C26" i="10"/>
  <c r="D26" i="10"/>
  <c r="E26" i="10"/>
  <c r="F26" i="10"/>
  <c r="C27" i="10"/>
  <c r="D27" i="10"/>
  <c r="E27" i="10"/>
  <c r="F27" i="10"/>
  <c r="I16" i="10"/>
  <c r="J16" i="10"/>
  <c r="K16" i="10"/>
  <c r="L16" i="10"/>
  <c r="I17" i="10"/>
  <c r="J17" i="10"/>
  <c r="K17" i="10"/>
  <c r="L17" i="10"/>
  <c r="M17" i="10"/>
  <c r="I18" i="10"/>
  <c r="J18" i="10"/>
  <c r="K18" i="10"/>
  <c r="L18" i="10"/>
  <c r="I19" i="10"/>
  <c r="J19" i="10"/>
  <c r="K19" i="10"/>
  <c r="L19" i="10"/>
  <c r="M19" i="10"/>
  <c r="C16" i="10"/>
  <c r="D16" i="10"/>
  <c r="E16" i="10"/>
  <c r="F16" i="10"/>
  <c r="C17" i="10"/>
  <c r="D17" i="10"/>
  <c r="E17" i="10"/>
  <c r="F17" i="10"/>
  <c r="C18" i="10"/>
  <c r="D18" i="10"/>
  <c r="E18" i="10"/>
  <c r="F18" i="10"/>
  <c r="C19" i="10"/>
  <c r="D19" i="10"/>
  <c r="E19" i="10"/>
  <c r="F19" i="10"/>
  <c r="C20" i="10"/>
  <c r="D20" i="10"/>
  <c r="E20" i="10"/>
  <c r="F20" i="10"/>
  <c r="P18" i="10"/>
  <c r="P17" i="10"/>
  <c r="P16" i="10"/>
  <c r="P15" i="10"/>
  <c r="P13" i="10"/>
  <c r="P12" i="10"/>
  <c r="P11" i="10"/>
  <c r="P10" i="10"/>
  <c r="P8" i="10"/>
  <c r="P7" i="10"/>
  <c r="P6" i="10"/>
  <c r="P5" i="10"/>
  <c r="I5" i="10"/>
  <c r="J5" i="10"/>
  <c r="K5" i="10"/>
  <c r="L5" i="10"/>
  <c r="M5" i="10"/>
  <c r="I6" i="10"/>
  <c r="J6" i="10"/>
  <c r="K6" i="10"/>
  <c r="L6" i="10"/>
  <c r="M6" i="10"/>
  <c r="I7" i="10"/>
  <c r="J7" i="10"/>
  <c r="K7" i="10"/>
  <c r="L7" i="10"/>
  <c r="M7" i="10"/>
  <c r="I8" i="10"/>
  <c r="J8" i="10"/>
  <c r="K8" i="10"/>
  <c r="L8" i="10"/>
  <c r="M8" i="10"/>
  <c r="I9" i="10"/>
  <c r="J9" i="10"/>
  <c r="K9" i="10"/>
  <c r="L9" i="10"/>
  <c r="M9" i="10"/>
  <c r="I10" i="10"/>
  <c r="J10" i="10"/>
  <c r="K10" i="10"/>
  <c r="L10" i="10"/>
  <c r="M10" i="10"/>
  <c r="I11" i="10"/>
  <c r="J11" i="10"/>
  <c r="K11" i="10"/>
  <c r="L11" i="10"/>
  <c r="M11" i="10"/>
  <c r="I12" i="10"/>
  <c r="J12" i="10"/>
  <c r="K12" i="10"/>
  <c r="L12" i="10"/>
  <c r="M12" i="10"/>
  <c r="I13" i="10"/>
  <c r="J13" i="10"/>
  <c r="K13" i="10"/>
  <c r="L13" i="10"/>
  <c r="M13" i="10"/>
  <c r="C5" i="10"/>
  <c r="D5" i="10"/>
  <c r="E5" i="10"/>
  <c r="F5" i="10"/>
  <c r="C6" i="10"/>
  <c r="D6" i="10"/>
  <c r="E6" i="10"/>
  <c r="F6" i="10"/>
  <c r="C7" i="10"/>
  <c r="D7" i="10"/>
  <c r="E7" i="10"/>
  <c r="F7" i="10"/>
  <c r="C8" i="10"/>
  <c r="D8" i="10"/>
  <c r="E8" i="10"/>
  <c r="F8" i="10"/>
  <c r="C9" i="10"/>
  <c r="D9" i="10"/>
  <c r="E9" i="10"/>
  <c r="F9" i="10"/>
  <c r="C10" i="10"/>
  <c r="D10" i="10"/>
  <c r="E10" i="10"/>
  <c r="F10" i="10"/>
  <c r="C11" i="10"/>
  <c r="D11" i="10"/>
  <c r="E11" i="10"/>
  <c r="F11" i="10"/>
  <c r="C12" i="10"/>
  <c r="D12" i="10"/>
  <c r="E12" i="10"/>
  <c r="F12" i="10"/>
  <c r="C13" i="10"/>
  <c r="D13" i="10"/>
  <c r="E13" i="10"/>
  <c r="F13" i="10"/>
  <c r="D53" i="8"/>
  <c r="K17" i="8"/>
  <c r="J44" i="7"/>
  <c r="M44" i="7"/>
  <c r="K44" i="7"/>
  <c r="L44" i="7"/>
  <c r="J43" i="7"/>
  <c r="K43" i="7"/>
  <c r="L43" i="7"/>
  <c r="K41" i="7"/>
  <c r="L41" i="7"/>
  <c r="J41" i="7"/>
  <c r="K42" i="7"/>
  <c r="L42" i="7"/>
  <c r="J42" i="7"/>
  <c r="I40" i="7"/>
  <c r="J40" i="7"/>
  <c r="K40" i="7"/>
  <c r="L40" i="7"/>
  <c r="K8" i="8"/>
  <c r="L6" i="11" s="1"/>
  <c r="M36" i="7"/>
  <c r="J36" i="7"/>
  <c r="K36" i="7"/>
  <c r="L36" i="7"/>
  <c r="I36" i="7"/>
  <c r="D28" i="8"/>
  <c r="D27" i="8"/>
  <c r="D20" i="8"/>
  <c r="D18" i="8"/>
  <c r="E18" i="8" s="1"/>
  <c r="F18" i="8" s="1"/>
  <c r="G18" i="8" s="1"/>
  <c r="C30" i="8"/>
  <c r="C29" i="11" s="1"/>
  <c r="C22" i="8"/>
  <c r="L7" i="7"/>
  <c r="K7" i="7"/>
  <c r="J7" i="7"/>
  <c r="I7" i="7"/>
  <c r="D6" i="8"/>
  <c r="C42" i="7"/>
  <c r="D34" i="7"/>
  <c r="E34" i="7"/>
  <c r="F34" i="7"/>
  <c r="C34" i="7"/>
  <c r="D42" i="7"/>
  <c r="D23" i="7" s="1"/>
  <c r="D28" i="7" s="1"/>
  <c r="E42" i="7"/>
  <c r="E23" i="7" s="1"/>
  <c r="E28" i="7" s="1"/>
  <c r="F42" i="7"/>
  <c r="F23" i="7" s="1"/>
  <c r="F28" i="7" s="1"/>
  <c r="C23" i="7"/>
  <c r="C28" i="7" s="1"/>
  <c r="C27" i="7"/>
  <c r="D27" i="7"/>
  <c r="E27" i="7"/>
  <c r="L24" i="7" s="1"/>
  <c r="M24" i="7" s="1"/>
  <c r="F27" i="7"/>
  <c r="D38" i="7"/>
  <c r="E38" i="7"/>
  <c r="F38" i="7"/>
  <c r="C38" i="7"/>
  <c r="D19" i="7"/>
  <c r="E19" i="7"/>
  <c r="F19" i="7"/>
  <c r="C19" i="7"/>
  <c r="M18" i="7"/>
  <c r="M17" i="7"/>
  <c r="M18" i="10" s="1"/>
  <c r="M15" i="7"/>
  <c r="M16" i="10" s="1"/>
  <c r="K24" i="7"/>
  <c r="J24" i="7"/>
  <c r="K23" i="7"/>
  <c r="L23" i="7"/>
  <c r="J23" i="7"/>
  <c r="M23" i="7" s="1"/>
  <c r="K22" i="7"/>
  <c r="L22" i="7"/>
  <c r="J22" i="7"/>
  <c r="M22" i="7" s="1"/>
  <c r="J18" i="7"/>
  <c r="K18" i="7"/>
  <c r="L18" i="7"/>
  <c r="I18" i="7"/>
  <c r="K17" i="7"/>
  <c r="J17" i="7"/>
  <c r="I15" i="7"/>
  <c r="J15" i="7"/>
  <c r="K15" i="7"/>
  <c r="M4" i="7"/>
  <c r="M7" i="7"/>
  <c r="M10" i="7"/>
  <c r="M3" i="7"/>
  <c r="I10" i="7"/>
  <c r="J10" i="7"/>
  <c r="K10" i="7"/>
  <c r="L10" i="7"/>
  <c r="J4" i="7"/>
  <c r="K4" i="7"/>
  <c r="L4" i="7"/>
  <c r="I4" i="7"/>
  <c r="K3" i="7"/>
  <c r="L3" i="7"/>
  <c r="J3" i="7"/>
  <c r="C6" i="3"/>
  <c r="D6" i="3"/>
  <c r="E6" i="3"/>
  <c r="F6" i="3"/>
  <c r="G6" i="3"/>
  <c r="H6" i="3"/>
  <c r="I6" i="3"/>
  <c r="J6" i="3"/>
  <c r="K6" i="3"/>
  <c r="B6" i="3"/>
  <c r="C5" i="1"/>
  <c r="C6" i="1" s="1"/>
  <c r="C19" i="1" s="1"/>
  <c r="D5" i="1"/>
  <c r="D6" i="1" s="1"/>
  <c r="D19" i="1" s="1"/>
  <c r="E5" i="1"/>
  <c r="E6" i="1" s="1"/>
  <c r="E19" i="1" s="1"/>
  <c r="F5" i="1"/>
  <c r="G5" i="1"/>
  <c r="G6" i="1" s="1"/>
  <c r="G19" i="1" s="1"/>
  <c r="H5" i="1"/>
  <c r="I5" i="1"/>
  <c r="I6" i="1" s="1"/>
  <c r="I19" i="1" s="1"/>
  <c r="J5" i="1"/>
  <c r="J6" i="1" s="1"/>
  <c r="J19" i="1" s="1"/>
  <c r="K5" i="1"/>
  <c r="K6" i="1" s="1"/>
  <c r="K19" i="1" s="1"/>
  <c r="B5" i="1"/>
  <c r="K13" i="1"/>
  <c r="K14" i="1" s="1"/>
  <c r="C13" i="1"/>
  <c r="C14" i="1" s="1"/>
  <c r="F13" i="1"/>
  <c r="F14" i="1" s="1"/>
  <c r="G13" i="1"/>
  <c r="G14" i="1" s="1"/>
  <c r="J13" i="1"/>
  <c r="J14" i="1" s="1"/>
  <c r="B13" i="1"/>
  <c r="B6" i="6"/>
  <c r="C17" i="2"/>
  <c r="D17" i="2"/>
  <c r="E17" i="2"/>
  <c r="F17" i="2"/>
  <c r="G17" i="2"/>
  <c r="H17" i="2"/>
  <c r="I17" i="2"/>
  <c r="J17" i="2"/>
  <c r="K17" i="2"/>
  <c r="C18" i="2"/>
  <c r="C21" i="2" s="1"/>
  <c r="D18" i="2"/>
  <c r="D21" i="2" s="1"/>
  <c r="E18" i="2"/>
  <c r="E21" i="2" s="1"/>
  <c r="F18" i="2"/>
  <c r="F21" i="2" s="1"/>
  <c r="G18" i="2"/>
  <c r="G21" i="2" s="1"/>
  <c r="H18" i="2"/>
  <c r="H21" i="2" s="1"/>
  <c r="I18" i="2"/>
  <c r="I21" i="2" s="1"/>
  <c r="J18" i="2"/>
  <c r="J21" i="2" s="1"/>
  <c r="K18" i="2"/>
  <c r="K21" i="2" s="1"/>
  <c r="B17" i="2"/>
  <c r="C4" i="2"/>
  <c r="C23" i="2" s="1"/>
  <c r="D4" i="2"/>
  <c r="D23" i="2" s="1"/>
  <c r="E4" i="2"/>
  <c r="E5" i="2"/>
  <c r="E23" i="2"/>
  <c r="F4" i="2"/>
  <c r="F23" i="2" s="1"/>
  <c r="G4" i="2"/>
  <c r="G23" i="2" s="1"/>
  <c r="H4" i="2"/>
  <c r="H23" i="2" s="1"/>
  <c r="I4" i="2"/>
  <c r="I5" i="2"/>
  <c r="I23" i="2"/>
  <c r="J4" i="2"/>
  <c r="J5" i="2"/>
  <c r="J23" i="2" s="1"/>
  <c r="K4" i="2"/>
  <c r="K23" i="2" s="1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C16" i="2" s="1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L10" i="1" s="1"/>
  <c r="I10" i="3"/>
  <c r="J10" i="3"/>
  <c r="K10" i="3"/>
  <c r="C11" i="3"/>
  <c r="D11" i="3"/>
  <c r="E11" i="3"/>
  <c r="F11" i="3"/>
  <c r="G11" i="3"/>
  <c r="H11" i="3"/>
  <c r="L11" i="1" s="1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C20" i="2" s="1"/>
  <c r="D4" i="1"/>
  <c r="D20" i="2" s="1"/>
  <c r="E4" i="1"/>
  <c r="E20" i="2" s="1"/>
  <c r="F4" i="1"/>
  <c r="G4" i="1"/>
  <c r="G20" i="2" s="1"/>
  <c r="H4" i="1"/>
  <c r="I4" i="1"/>
  <c r="J4" i="1"/>
  <c r="K4" i="1"/>
  <c r="K20" i="2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D15" i="1"/>
  <c r="E15" i="1"/>
  <c r="F15" i="1"/>
  <c r="G15" i="1"/>
  <c r="H15" i="1"/>
  <c r="I15" i="1"/>
  <c r="J15" i="1"/>
  <c r="K15" i="1"/>
  <c r="B15" i="1"/>
  <c r="H13" i="1"/>
  <c r="I13" i="1"/>
  <c r="B7" i="1"/>
  <c r="B4" i="1"/>
  <c r="A1" i="1"/>
  <c r="E1" i="6"/>
  <c r="H1" i="1" s="1"/>
  <c r="E1" i="2"/>
  <c r="E1" i="3"/>
  <c r="H16" i="2"/>
  <c r="D16" i="2"/>
  <c r="K16" i="2"/>
  <c r="F16" i="2"/>
  <c r="B23" i="2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B18" i="2"/>
  <c r="B21" i="2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14" i="3"/>
  <c r="I14" i="3"/>
  <c r="G14" i="3"/>
  <c r="L12" i="1"/>
  <c r="L6" i="1"/>
  <c r="L4" i="1"/>
  <c r="H23" i="1"/>
  <c r="I23" i="1"/>
  <c r="J23" i="1"/>
  <c r="L5" i="1"/>
  <c r="E28" i="8" l="1"/>
  <c r="E27" i="11" s="1"/>
  <c r="D45" i="8"/>
  <c r="E27" i="8"/>
  <c r="E26" i="11" s="1"/>
  <c r="D44" i="8"/>
  <c r="E44" i="8"/>
  <c r="E20" i="8"/>
  <c r="E18" i="11" s="1"/>
  <c r="D18" i="11"/>
  <c r="D48" i="8"/>
  <c r="C20" i="11"/>
  <c r="C33" i="8"/>
  <c r="C21" i="11" s="1"/>
  <c r="D21" i="8"/>
  <c r="D5" i="11"/>
  <c r="K18" i="8"/>
  <c r="D29" i="8"/>
  <c r="D28" i="11" s="1"/>
  <c r="D39" i="8"/>
  <c r="D34" i="11" s="1"/>
  <c r="E45" i="8"/>
  <c r="F28" i="8"/>
  <c r="E48" i="8"/>
  <c r="F20" i="8"/>
  <c r="F18" i="11" s="1"/>
  <c r="E6" i="8"/>
  <c r="E5" i="11" s="1"/>
  <c r="D10" i="8"/>
  <c r="D9" i="11" s="1"/>
  <c r="D7" i="8"/>
  <c r="D24" i="2"/>
  <c r="E24" i="2"/>
  <c r="F24" i="2"/>
  <c r="G24" i="2"/>
  <c r="H24" i="2"/>
  <c r="I24" i="2"/>
  <c r="J24" i="2"/>
  <c r="K24" i="2"/>
  <c r="G16" i="2"/>
  <c r="I16" i="2"/>
  <c r="C24" i="2"/>
  <c r="L9" i="1"/>
  <c r="C14" i="3"/>
  <c r="F20" i="2"/>
  <c r="K24" i="1"/>
  <c r="H14" i="1"/>
  <c r="I14" i="1"/>
  <c r="K25" i="1" s="1"/>
  <c r="M25" i="1" s="1"/>
  <c r="M14" i="1" s="1"/>
  <c r="B14" i="1"/>
  <c r="B20" i="2"/>
  <c r="B16" i="2"/>
  <c r="L19" i="1"/>
  <c r="L24" i="1" s="1"/>
  <c r="D13" i="1"/>
  <c r="B6" i="1"/>
  <c r="B19" i="1" s="1"/>
  <c r="L13" i="1"/>
  <c r="L14" i="1" s="1"/>
  <c r="L25" i="1" s="1"/>
  <c r="M11" i="1"/>
  <c r="N11" i="1"/>
  <c r="L23" i="1"/>
  <c r="J20" i="2"/>
  <c r="A1" i="3"/>
  <c r="A1" i="2"/>
  <c r="A1" i="4" s="1"/>
  <c r="J25" i="1"/>
  <c r="M24" i="1"/>
  <c r="M9" i="1"/>
  <c r="N9" i="1"/>
  <c r="N8" i="1"/>
  <c r="M8" i="1"/>
  <c r="N23" i="1"/>
  <c r="N4" i="1" s="1"/>
  <c r="I20" i="2"/>
  <c r="H20" i="2"/>
  <c r="K23" i="1"/>
  <c r="H6" i="1"/>
  <c r="H19" i="1" s="1"/>
  <c r="J24" i="1" s="1"/>
  <c r="F6" i="1"/>
  <c r="F19" i="1" s="1"/>
  <c r="I24" i="1" s="1"/>
  <c r="E1" i="4"/>
  <c r="F27" i="8" l="1"/>
  <c r="D19" i="11"/>
  <c r="D40" i="8"/>
  <c r="D35" i="11" s="1"/>
  <c r="L13" i="11"/>
  <c r="D43" i="8"/>
  <c r="D46" i="8" s="1"/>
  <c r="F45" i="8"/>
  <c r="F27" i="11"/>
  <c r="D8" i="8"/>
  <c r="D6" i="11"/>
  <c r="G28" i="8"/>
  <c r="F48" i="8"/>
  <c r="G20" i="8"/>
  <c r="L18" i="8"/>
  <c r="E29" i="8"/>
  <c r="E28" i="11" s="1"/>
  <c r="E21" i="8"/>
  <c r="D38" i="8"/>
  <c r="D33" i="11" s="1"/>
  <c r="K19" i="8"/>
  <c r="E7" i="8"/>
  <c r="E10" i="8"/>
  <c r="E9" i="11" s="1"/>
  <c r="F6" i="8"/>
  <c r="F5" i="11" s="1"/>
  <c r="D14" i="1"/>
  <c r="H25" i="1" s="1"/>
  <c r="N25" i="1" s="1"/>
  <c r="N14" i="1" s="1"/>
  <c r="E13" i="1"/>
  <c r="E14" i="1" s="1"/>
  <c r="I25" i="1" s="1"/>
  <c r="H24" i="1"/>
  <c r="N24" i="1" s="1"/>
  <c r="N6" i="1" s="1"/>
  <c r="M23" i="1"/>
  <c r="M4" i="1" s="1"/>
  <c r="M6" i="1" s="1"/>
  <c r="M10" i="1" s="1"/>
  <c r="M12" i="1" s="1"/>
  <c r="M13" i="1" s="1"/>
  <c r="M15" i="1" s="1"/>
  <c r="F44" i="8" l="1"/>
  <c r="F26" i="11"/>
  <c r="G27" i="8"/>
  <c r="D7" i="11"/>
  <c r="D12" i="8"/>
  <c r="G45" i="8"/>
  <c r="G27" i="11"/>
  <c r="G48" i="8"/>
  <c r="G18" i="11"/>
  <c r="E43" i="8"/>
  <c r="E46" i="8" s="1"/>
  <c r="M13" i="11"/>
  <c r="E40" i="8"/>
  <c r="E35" i="11" s="1"/>
  <c r="E19" i="11"/>
  <c r="K20" i="8"/>
  <c r="L14" i="11"/>
  <c r="E8" i="8"/>
  <c r="E7" i="11" s="1"/>
  <c r="E6" i="11"/>
  <c r="E39" i="8"/>
  <c r="E34" i="11" s="1"/>
  <c r="E38" i="8"/>
  <c r="E33" i="11" s="1"/>
  <c r="L19" i="8"/>
  <c r="M14" i="11" s="1"/>
  <c r="M18" i="8"/>
  <c r="F21" i="8"/>
  <c r="F29" i="8"/>
  <c r="F7" i="8"/>
  <c r="F6" i="11" s="1"/>
  <c r="F10" i="8"/>
  <c r="F9" i="11" s="1"/>
  <c r="F8" i="8"/>
  <c r="G6" i="8"/>
  <c r="G5" i="11" s="1"/>
  <c r="E12" i="8"/>
  <c r="E11" i="11" s="1"/>
  <c r="N5" i="1"/>
  <c r="N10" i="1"/>
  <c r="N12" i="1" s="1"/>
  <c r="N13" i="1" s="1"/>
  <c r="N15" i="1" s="1"/>
  <c r="M5" i="1"/>
  <c r="L15" i="11" l="1"/>
  <c r="D26" i="8"/>
  <c r="D25" i="11" s="1"/>
  <c r="L17" i="8"/>
  <c r="G44" i="8"/>
  <c r="G26" i="11"/>
  <c r="D11" i="11"/>
  <c r="D13" i="8"/>
  <c r="D12" i="11" s="1"/>
  <c r="D14" i="8"/>
  <c r="F43" i="8"/>
  <c r="F46" i="8" s="1"/>
  <c r="N13" i="11"/>
  <c r="F40" i="8"/>
  <c r="F35" i="11" s="1"/>
  <c r="F19" i="11"/>
  <c r="F39" i="8"/>
  <c r="F34" i="11" s="1"/>
  <c r="F28" i="11"/>
  <c r="F12" i="8"/>
  <c r="F7" i="11"/>
  <c r="M19" i="8"/>
  <c r="N14" i="11" s="1"/>
  <c r="F38" i="8"/>
  <c r="F33" i="11" s="1"/>
  <c r="G29" i="8"/>
  <c r="G21" i="8"/>
  <c r="N18" i="8"/>
  <c r="G10" i="8"/>
  <c r="G9" i="11" s="1"/>
  <c r="G7" i="8"/>
  <c r="E13" i="8"/>
  <c r="M12" i="11" l="1"/>
  <c r="L20" i="8"/>
  <c r="F11" i="11"/>
  <c r="F13" i="8"/>
  <c r="K9" i="8"/>
  <c r="D37" i="8"/>
  <c r="D13" i="11"/>
  <c r="G39" i="8"/>
  <c r="G34" i="11" s="1"/>
  <c r="G28" i="11"/>
  <c r="G40" i="8"/>
  <c r="G35" i="11" s="1"/>
  <c r="G19" i="11"/>
  <c r="G43" i="8"/>
  <c r="G46" i="8" s="1"/>
  <c r="O13" i="11"/>
  <c r="G8" i="8"/>
  <c r="G6" i="11"/>
  <c r="E14" i="8"/>
  <c r="E12" i="11"/>
  <c r="G38" i="8"/>
  <c r="G33" i="11" s="1"/>
  <c r="N19" i="8"/>
  <c r="O14" i="11" s="1"/>
  <c r="M15" i="11" l="1"/>
  <c r="E26" i="8"/>
  <c r="E25" i="11" s="1"/>
  <c r="M17" i="8"/>
  <c r="F12" i="11"/>
  <c r="F14" i="8"/>
  <c r="G7" i="11"/>
  <c r="G12" i="8"/>
  <c r="K10" i="8"/>
  <c r="L7" i="11"/>
  <c r="D32" i="11"/>
  <c r="D41" i="8"/>
  <c r="D36" i="11" s="1"/>
  <c r="E13" i="11"/>
  <c r="E37" i="8"/>
  <c r="L9" i="8"/>
  <c r="G13" i="8"/>
  <c r="G11" i="11"/>
  <c r="M20" i="8"/>
  <c r="N12" i="11"/>
  <c r="M9" i="8" l="1"/>
  <c r="F37" i="8"/>
  <c r="F13" i="11"/>
  <c r="E41" i="8"/>
  <c r="E36" i="11" s="1"/>
  <c r="E32" i="11"/>
  <c r="L10" i="8"/>
  <c r="M7" i="11"/>
  <c r="K11" i="8"/>
  <c r="D49" i="8"/>
  <c r="D50" i="8" s="1"/>
  <c r="D52" i="8" s="1"/>
  <c r="D54" i="8" s="1"/>
  <c r="L8" i="11"/>
  <c r="M8" i="11"/>
  <c r="E49" i="8"/>
  <c r="E50" i="8" s="1"/>
  <c r="E52" i="8" s="1"/>
  <c r="G12" i="11"/>
  <c r="G14" i="8"/>
  <c r="N15" i="11"/>
  <c r="N17" i="8"/>
  <c r="F26" i="8"/>
  <c r="F25" i="11" s="1"/>
  <c r="M10" i="8" l="1"/>
  <c r="N7" i="11"/>
  <c r="F41" i="8"/>
  <c r="F36" i="11" s="1"/>
  <c r="F32" i="11"/>
  <c r="L8" i="8"/>
  <c r="D19" i="8"/>
  <c r="L9" i="11"/>
  <c r="D25" i="8"/>
  <c r="E53" i="8"/>
  <c r="E54" i="8" s="1"/>
  <c r="G37" i="8"/>
  <c r="N9" i="8"/>
  <c r="G13" i="11"/>
  <c r="O12" i="11"/>
  <c r="N20" i="8"/>
  <c r="F49" i="8" l="1"/>
  <c r="F50" i="8" s="1"/>
  <c r="F52" i="8" s="1"/>
  <c r="N8" i="11"/>
  <c r="M6" i="11"/>
  <c r="L11" i="8"/>
  <c r="D17" i="11"/>
  <c r="D22" i="8"/>
  <c r="D24" i="11"/>
  <c r="D30" i="8"/>
  <c r="D29" i="11" s="1"/>
  <c r="F53" i="8"/>
  <c r="E25" i="8"/>
  <c r="G32" i="11"/>
  <c r="G41" i="8"/>
  <c r="O7" i="11"/>
  <c r="N10" i="8"/>
  <c r="O15" i="11"/>
  <c r="G26" i="8"/>
  <c r="G25" i="11" s="1"/>
  <c r="F54" i="8" l="1"/>
  <c r="M8" i="8"/>
  <c r="E19" i="8"/>
  <c r="M9" i="11"/>
  <c r="D33" i="8"/>
  <c r="D21" i="11" s="1"/>
  <c r="D20" i="11"/>
  <c r="G53" i="8"/>
  <c r="F25" i="8"/>
  <c r="E24" i="11"/>
  <c r="E30" i="8"/>
  <c r="E29" i="11" s="1"/>
  <c r="G52" i="8"/>
  <c r="G54" i="8" s="1"/>
  <c r="G25" i="8" s="1"/>
  <c r="G36" i="11"/>
  <c r="O8" i="11"/>
  <c r="G49" i="8"/>
  <c r="G50" i="8" s="1"/>
  <c r="N6" i="11" l="1"/>
  <c r="M11" i="8"/>
  <c r="E17" i="11"/>
  <c r="E22" i="8"/>
  <c r="F24" i="11"/>
  <c r="F30" i="8"/>
  <c r="F29" i="11" s="1"/>
  <c r="G24" i="11"/>
  <c r="G30" i="8"/>
  <c r="G29" i="11" s="1"/>
  <c r="F19" i="8" l="1"/>
  <c r="N8" i="8"/>
  <c r="N9" i="11"/>
  <c r="E33" i="8"/>
  <c r="E21" i="11" s="1"/>
  <c r="E20" i="11"/>
  <c r="F17" i="11" l="1"/>
  <c r="F22" i="8"/>
  <c r="N11" i="8"/>
  <c r="O6" i="11"/>
  <c r="F33" i="8" l="1"/>
  <c r="F21" i="11" s="1"/>
  <c r="F20" i="11"/>
  <c r="O9" i="11"/>
  <c r="G19" i="8"/>
  <c r="G22" i="8" l="1"/>
  <c r="G17" i="11"/>
  <c r="G20" i="11" l="1"/>
  <c r="G33" i="8"/>
  <c r="G21" i="11" s="1"/>
</calcChain>
</file>

<file path=xl/sharedStrings.xml><?xml version="1.0" encoding="utf-8"?>
<sst xmlns="http://schemas.openxmlformats.org/spreadsheetml/2006/main" count="411" uniqueCount="164">
  <si>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</si>
  <si>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</si>
  <si>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</si>
  <si>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</si>
  <si>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</si>
  <si>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</si>
  <si>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</si>
  <si>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</si>
  <si>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</si>
  <si>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</si>
  <si>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</si>
  <si>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</si>
  <si>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</si>
  <si>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</si>
  <si>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</si>
  <si>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</si>
  <si>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</si>
  <si>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</si>
  <si>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</si>
  <si>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</si>
  <si>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</si>
  <si>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</si>
  <si>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</si>
  <si>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</si>
  <si>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</si>
  <si>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</si>
  <si>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</si>
  <si>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</si>
  <si>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</si>
  <si>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</si>
  <si>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</si>
  <si>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</si>
  <si>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</si>
  <si>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</si>
  <si>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</si>
  <si>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</si>
  <si>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</si>
  <si>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</si>
  <si>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</si>
  <si>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</si>
  <si>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</si>
  <si>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</si>
  <si>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</si>
  <si>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</si>
  <si>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</si>
  <si>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</si>
  <si>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</si>
  <si>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</si>
  <si>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</si>
  <si>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</si>
  <si>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</si>
  <si>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</si>
  <si>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</si>
  <si>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</si>
  <si>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</si>
  <si>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</si>
  <si>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</si>
  <si>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</si>
  <si>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</si>
  <si>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</si>
  <si>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</si>
  <si>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</si>
  <si>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</si>
  <si>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INFOSYS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</si>
  <si>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</si>
  <si>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</si>
  <si>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</si>
  <si>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</si>
  <si>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</si>
  <si>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</si>
  <si>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</si>
  <si>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</si>
  <si>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</si>
  <si>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</si>
  <si>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</si>
  <si>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</si>
  <si>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</si>
  <si>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</si>
  <si>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</si>
  <si>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</si>
  <si>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</si>
  <si>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</si>
  <si>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</si>
  <si>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</si>
  <si>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</si>
  <si>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</si>
  <si>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</si>
  <si>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</si>
  <si>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</si>
  <si>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</si>
  <si>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</si>
  <si>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</si>
  <si>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</si>
  <si>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CAGR</t>
  </si>
  <si>
    <t xml:space="preserve">Cash </t>
  </si>
  <si>
    <t>Other assets</t>
  </si>
  <si>
    <t>cash</t>
  </si>
  <si>
    <t>Balance Check</t>
  </si>
  <si>
    <t>Reserve</t>
  </si>
  <si>
    <t>Beginning</t>
  </si>
  <si>
    <t>Net Income</t>
  </si>
  <si>
    <t>Dividend</t>
  </si>
  <si>
    <t>End</t>
  </si>
  <si>
    <t>Dividend % of sales</t>
  </si>
  <si>
    <t>Capex</t>
  </si>
  <si>
    <t>Dep</t>
  </si>
  <si>
    <t>%  of sales</t>
  </si>
  <si>
    <t>capex</t>
  </si>
  <si>
    <t xml:space="preserve"> Beginning Net Block</t>
  </si>
  <si>
    <t>End Net Block</t>
  </si>
  <si>
    <t>Cash Flow Statement</t>
  </si>
  <si>
    <t>Net income</t>
  </si>
  <si>
    <t>Others Assets</t>
  </si>
  <si>
    <t>Others Liabilities</t>
  </si>
  <si>
    <t>Change In Op</t>
  </si>
  <si>
    <t>CWIP</t>
  </si>
  <si>
    <t>Change In Investing</t>
  </si>
  <si>
    <t>Borrowing</t>
  </si>
  <si>
    <t>Change In Financing</t>
  </si>
  <si>
    <t>Net Changes</t>
  </si>
  <si>
    <t>Previous Cash</t>
  </si>
  <si>
    <t>Net cash</t>
  </si>
  <si>
    <t>Expenses % sales</t>
  </si>
  <si>
    <t>Depreciation % sales</t>
  </si>
  <si>
    <t>Share capital</t>
  </si>
  <si>
    <t>Others liabilities</t>
  </si>
  <si>
    <t>Others Assets % sales</t>
  </si>
  <si>
    <t>Capex % sales</t>
  </si>
  <si>
    <t>Dividend % sales</t>
  </si>
  <si>
    <t>Assumptions</t>
  </si>
  <si>
    <t>Supporting Schedule</t>
  </si>
  <si>
    <t>INFOSYS LTD - ASSUMPTION DATA DASHBOARD</t>
  </si>
  <si>
    <t>Value</t>
  </si>
  <si>
    <t>Sales CAGR</t>
  </si>
  <si>
    <t>Tax Rate</t>
  </si>
  <si>
    <t>Borrowing Growth</t>
  </si>
  <si>
    <t>CWIP Growth</t>
  </si>
  <si>
    <t>Investments Growth</t>
  </si>
  <si>
    <t>Capex % Sales</t>
  </si>
  <si>
    <t>Cash</t>
  </si>
  <si>
    <t>Total Assets</t>
  </si>
  <si>
    <t>CASH FLOW STATEMENT</t>
  </si>
  <si>
    <t>Change in Operating</t>
  </si>
  <si>
    <t>Change in Investing</t>
  </si>
  <si>
    <t>Change in Financing</t>
  </si>
  <si>
    <t>Net Cash</t>
  </si>
  <si>
    <t>Beginning Net Block</t>
  </si>
  <si>
    <t>MODEL ASSUMPTIONS</t>
  </si>
  <si>
    <t>Others liabilities %</t>
  </si>
  <si>
    <t>Dividend % Net Income</t>
  </si>
  <si>
    <t>Assets</t>
  </si>
  <si>
    <t>Asset Ratios</t>
  </si>
  <si>
    <t>Others Assets %</t>
  </si>
  <si>
    <t>INCOME STATEMENT</t>
  </si>
  <si>
    <t>BALANCE SHEET - LIABILITIES</t>
  </si>
  <si>
    <t>BALANCE SHEET - ASSETS</t>
  </si>
  <si>
    <t>PROFIT &amp; LOSS - HISTORICAL</t>
  </si>
  <si>
    <t>GROWTH ANALYSIS</t>
  </si>
  <si>
    <t>LIABILITY RATIOS</t>
  </si>
  <si>
    <t>ASSET RATIOS</t>
  </si>
  <si>
    <t>INFOSYS LTD - THREE STATEMENT MODEL DASHBOARD (2026-2029)</t>
  </si>
  <si>
    <t>Income Statement</t>
  </si>
  <si>
    <t>Balance Sheet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</si>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</sst>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0.00;[Red]0.00"/>
    <numFmt numFmtId="167" formatCode="0;[Red]0"/>
    <numFmt numFmtId="168" formatCode="0.0%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275D8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11"/>
      <color theme="2" tint="-0.499984740745262"/>
      <name val="Arial Rounded MT Bold"/>
      <family val="2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rgb="FF538135"/>
      <name val="Calibri"/>
      <family val="2"/>
      <scheme val="minor"/>
    </font>
    <font>
      <b/>
      <sz val="11"/>
      <color rgb="FF203864"/>
      <name val="Calibri"/>
      <family val="2"/>
      <scheme val="minor"/>
    </font>
    <font>
      <b/>
      <sz val="11"/>
      <color rgb="FF375623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2"/>
      <color theme="0"/>
      <name val="Amasis MT Pro Black"/>
      <family val="1"/>
    </font>
    <font>
      <sz val="11"/>
      <color rgb="FF2D3748"/>
      <name val="Calibri"/>
      <family val="2"/>
      <scheme val="minor"/>
    </font>
    <font>
      <b/>
      <sz val="11"/>
      <color rgb="FF2D3748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E2D1F0"/>
        <bgColor indexed="64"/>
      </patternFill>
    </fill>
    <fill>
      <patternFill patternType="solid">
        <fgColor rgb="FFD9C4EC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4F8A6"/>
        <bgColor indexed="64"/>
      </patternFill>
    </fill>
    <fill>
      <patternFill patternType="solid">
        <fgColor rgb="FF1F3A5F"/>
        <bgColor indexed="64"/>
      </patternFill>
    </fill>
    <fill>
      <patternFill patternType="solid">
        <fgColor rgb="FF3D5A80"/>
        <bgColor indexed="64"/>
      </patternFill>
    </fill>
    <fill>
      <patternFill patternType="solid">
        <fgColor rgb="FFE8EEF4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FDF6E3"/>
        <bgColor indexed="64"/>
      </patternFill>
    </fill>
    <fill>
      <patternFill patternType="solid">
        <fgColor rgb="FF1B365D"/>
        <bgColor indexed="64"/>
      </patternFill>
    </fill>
    <fill>
      <patternFill patternType="solid">
        <fgColor rgb="FF2E509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FFFACD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24">
    <xf numFmtId="0" fontId="0" fillId="0" borderId="0" xfId="0"/>
    <xf numFmtId="164" fontId="1" fillId="0" borderId="0" xfId="1" applyFont="1" applyBorder="1"/>
    <xf numFmtId="0" fontId="1" fillId="0" borderId="0" xfId="0" applyFont="1"/>
    <xf numFmtId="0" fontId="8" fillId="0" borderId="0" xfId="0" applyFont="1"/>
    <xf numFmtId="164" fontId="0" fillId="0" borderId="0" xfId="1" applyFont="1" applyBorder="1"/>
    <xf numFmtId="10" fontId="0" fillId="0" borderId="0" xfId="0" applyNumberFormat="1"/>
    <xf numFmtId="164" fontId="3" fillId="0" borderId="0" xfId="1" applyFont="1" applyBorder="1"/>
    <xf numFmtId="9" fontId="3" fillId="0" borderId="0" xfId="1" applyNumberFormat="1" applyFont="1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0" fillId="0" borderId="0" xfId="1" applyFont="1" applyBorder="1" applyAlignment="1">
      <alignment horizontal="center"/>
    </xf>
    <xf numFmtId="164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43" fontId="0" fillId="0" borderId="0" xfId="1" applyNumberFormat="1" applyFont="1" applyBorder="1"/>
    <xf numFmtId="0" fontId="0" fillId="6" borderId="0" xfId="0" applyFill="1"/>
    <xf numFmtId="165" fontId="1" fillId="6" borderId="0" xfId="0" applyNumberFormat="1" applyFont="1" applyFill="1"/>
    <xf numFmtId="0" fontId="1" fillId="6" borderId="0" xfId="0" applyFont="1" applyFill="1"/>
    <xf numFmtId="0" fontId="12" fillId="6" borderId="0" xfId="0" applyFont="1" applyFill="1"/>
    <xf numFmtId="165" fontId="12" fillId="6" borderId="0" xfId="0" applyNumberFormat="1" applyFont="1" applyFill="1"/>
    <xf numFmtId="166" fontId="12" fillId="6" borderId="0" xfId="0" applyNumberFormat="1" applyFont="1" applyFill="1"/>
    <xf numFmtId="2" fontId="12" fillId="6" borderId="0" xfId="0" applyNumberFormat="1" applyFont="1" applyFill="1"/>
    <xf numFmtId="0" fontId="10" fillId="6" borderId="0" xfId="0" applyFont="1" applyFill="1"/>
    <xf numFmtId="167" fontId="12" fillId="6" borderId="0" xfId="0" applyNumberFormat="1" applyFont="1" applyFill="1"/>
    <xf numFmtId="0" fontId="13" fillId="6" borderId="0" xfId="0" applyFont="1" applyFill="1"/>
    <xf numFmtId="167" fontId="13" fillId="6" borderId="0" xfId="0" applyNumberFormat="1" applyFont="1" applyFill="1"/>
    <xf numFmtId="0" fontId="14" fillId="6" borderId="0" xfId="0" applyFont="1" applyFill="1"/>
    <xf numFmtId="0" fontId="0" fillId="7" borderId="0" xfId="0" applyFill="1"/>
    <xf numFmtId="0" fontId="1" fillId="7" borderId="0" xfId="0" applyFont="1" applyFill="1"/>
    <xf numFmtId="0" fontId="12" fillId="7" borderId="0" xfId="0" applyFont="1" applyFill="1"/>
    <xf numFmtId="0" fontId="0" fillId="8" borderId="0" xfId="0" applyFill="1"/>
    <xf numFmtId="0" fontId="15" fillId="6" borderId="0" xfId="0" applyFont="1" applyFill="1"/>
    <xf numFmtId="0" fontId="16" fillId="6" borderId="0" xfId="0" applyFont="1" applyFill="1"/>
    <xf numFmtId="0" fontId="0" fillId="11" borderId="3" xfId="0" applyFill="1" applyBorder="1"/>
    <xf numFmtId="0" fontId="0" fillId="10" borderId="3" xfId="0" applyFill="1" applyBorder="1"/>
    <xf numFmtId="3" fontId="0" fillId="10" borderId="3" xfId="0" applyNumberFormat="1" applyFill="1" applyBorder="1"/>
    <xf numFmtId="3" fontId="0" fillId="11" borderId="3" xfId="0" applyNumberFormat="1" applyFill="1" applyBorder="1"/>
    <xf numFmtId="0" fontId="18" fillId="13" borderId="3" xfId="0" applyFont="1" applyFill="1" applyBorder="1"/>
    <xf numFmtId="0" fontId="0" fillId="15" borderId="3" xfId="0" applyFill="1" applyBorder="1"/>
    <xf numFmtId="3" fontId="0" fillId="15" borderId="3" xfId="0" applyNumberFormat="1" applyFill="1" applyBorder="1"/>
    <xf numFmtId="0" fontId="0" fillId="19" borderId="3" xfId="0" applyFill="1" applyBorder="1"/>
    <xf numFmtId="3" fontId="0" fillId="19" borderId="3" xfId="0" applyNumberFormat="1" applyFill="1" applyBorder="1"/>
    <xf numFmtId="0" fontId="18" fillId="20" borderId="3" xfId="0" applyFont="1" applyFill="1" applyBorder="1"/>
    <xf numFmtId="0" fontId="0" fillId="12" borderId="3" xfId="0" applyFill="1" applyBorder="1"/>
    <xf numFmtId="0" fontId="0" fillId="21" borderId="3" xfId="0" applyFill="1" applyBorder="1"/>
    <xf numFmtId="0" fontId="0" fillId="22" borderId="3" xfId="0" applyFill="1" applyBorder="1"/>
    <xf numFmtId="3" fontId="0" fillId="22" borderId="3" xfId="0" applyNumberFormat="1" applyFill="1" applyBorder="1"/>
    <xf numFmtId="0" fontId="18" fillId="14" borderId="3" xfId="0" applyFont="1" applyFill="1" applyBorder="1"/>
    <xf numFmtId="0" fontId="0" fillId="16" borderId="3" xfId="0" applyFill="1" applyBorder="1"/>
    <xf numFmtId="3" fontId="0" fillId="16" borderId="3" xfId="0" applyNumberFormat="1" applyFill="1" applyBorder="1"/>
    <xf numFmtId="0" fontId="18" fillId="23" borderId="3" xfId="0" applyFont="1" applyFill="1" applyBorder="1"/>
    <xf numFmtId="0" fontId="18" fillId="18" borderId="3" xfId="0" applyFont="1" applyFill="1" applyBorder="1"/>
    <xf numFmtId="0" fontId="0" fillId="24" borderId="3" xfId="0" applyFill="1" applyBorder="1"/>
    <xf numFmtId="3" fontId="0" fillId="24" borderId="3" xfId="0" applyNumberFormat="1" applyFill="1" applyBorder="1"/>
    <xf numFmtId="0" fontId="18" fillId="17" borderId="3" xfId="0" applyFont="1" applyFill="1" applyBorder="1"/>
    <xf numFmtId="3" fontId="0" fillId="21" borderId="3" xfId="0" applyNumberFormat="1" applyFill="1" applyBorder="1"/>
    <xf numFmtId="3" fontId="18" fillId="13" borderId="3" xfId="0" applyNumberFormat="1" applyFont="1" applyFill="1" applyBorder="1"/>
    <xf numFmtId="3" fontId="0" fillId="12" borderId="3" xfId="0" applyNumberFormat="1" applyFill="1" applyBorder="1"/>
    <xf numFmtId="0" fontId="18" fillId="25" borderId="1" xfId="0" applyFont="1" applyFill="1" applyBorder="1"/>
    <xf numFmtId="0" fontId="18" fillId="20" borderId="5" xfId="0" applyFont="1" applyFill="1" applyBorder="1"/>
    <xf numFmtId="3" fontId="18" fillId="20" borderId="5" xfId="0" applyNumberFormat="1" applyFont="1" applyFill="1" applyBorder="1"/>
    <xf numFmtId="0" fontId="18" fillId="25" borderId="2" xfId="0" applyFont="1" applyFill="1" applyBorder="1"/>
    <xf numFmtId="0" fontId="18" fillId="25" borderId="4" xfId="0" applyFont="1" applyFill="1" applyBorder="1"/>
    <xf numFmtId="3" fontId="18" fillId="14" borderId="3" xfId="0" applyNumberFormat="1" applyFont="1" applyFill="1" applyBorder="1"/>
    <xf numFmtId="3" fontId="18" fillId="18" borderId="3" xfId="0" applyNumberFormat="1" applyFont="1" applyFill="1" applyBorder="1"/>
    <xf numFmtId="3" fontId="18" fillId="17" borderId="3" xfId="0" applyNumberFormat="1" applyFont="1" applyFill="1" applyBorder="1"/>
    <xf numFmtId="0" fontId="20" fillId="0" borderId="0" xfId="0" applyFont="1"/>
    <xf numFmtId="0" fontId="21" fillId="0" borderId="0" xfId="0" applyFont="1"/>
    <xf numFmtId="0" fontId="22" fillId="0" borderId="0" xfId="0" applyFont="1"/>
    <xf numFmtId="3" fontId="0" fillId="26" borderId="3" xfId="0" applyNumberFormat="1" applyFill="1" applyBorder="1"/>
    <xf numFmtId="0" fontId="1" fillId="26" borderId="3" xfId="0" applyFont="1" applyFill="1" applyBorder="1"/>
    <xf numFmtId="0" fontId="1" fillId="6" borderId="6" xfId="0" applyFont="1" applyFill="1" applyBorder="1"/>
    <xf numFmtId="0" fontId="12" fillId="6" borderId="6" xfId="0" applyFont="1" applyFill="1" applyBorder="1"/>
    <xf numFmtId="167" fontId="12" fillId="6" borderId="6" xfId="0" applyNumberFormat="1" applyFont="1" applyFill="1" applyBorder="1"/>
    <xf numFmtId="0" fontId="23" fillId="28" borderId="0" xfId="0" applyFont="1" applyFill="1"/>
    <xf numFmtId="0" fontId="24" fillId="27" borderId="0" xfId="0" applyFont="1" applyFill="1"/>
    <xf numFmtId="0" fontId="11" fillId="6" borderId="0" xfId="0" applyFont="1" applyFill="1"/>
    <xf numFmtId="167" fontId="0" fillId="6" borderId="0" xfId="0" applyNumberFormat="1" applyFill="1"/>
    <xf numFmtId="0" fontId="11" fillId="6" borderId="6" xfId="0" applyFont="1" applyFill="1" applyBorder="1"/>
    <xf numFmtId="0" fontId="10" fillId="6" borderId="6" xfId="0" applyFont="1" applyFill="1" applyBorder="1"/>
    <xf numFmtId="0" fontId="19" fillId="9" borderId="0" xfId="0" applyFont="1" applyFill="1" applyAlignment="1">
      <alignment horizontal="centerContinuous"/>
    </xf>
    <xf numFmtId="0" fontId="25" fillId="0" borderId="0" xfId="0" applyFont="1"/>
    <xf numFmtId="0" fontId="25" fillId="0" borderId="3" xfId="0" applyFont="1" applyBorder="1"/>
    <xf numFmtId="0" fontId="18" fillId="30" borderId="0" xfId="0" applyFont="1" applyFill="1"/>
    <xf numFmtId="0" fontId="26" fillId="31" borderId="3" xfId="0" applyFont="1" applyFill="1" applyBorder="1"/>
    <xf numFmtId="16" fontId="26" fillId="31" borderId="3" xfId="0" applyNumberFormat="1" applyFont="1" applyFill="1" applyBorder="1"/>
    <xf numFmtId="0" fontId="25" fillId="11" borderId="3" xfId="0" applyFont="1" applyFill="1" applyBorder="1"/>
    <xf numFmtId="3" fontId="25" fillId="11" borderId="3" xfId="0" applyNumberFormat="1" applyFont="1" applyFill="1" applyBorder="1"/>
    <xf numFmtId="0" fontId="25" fillId="32" borderId="3" xfId="0" applyFont="1" applyFill="1" applyBorder="1"/>
    <xf numFmtId="3" fontId="25" fillId="32" borderId="3" xfId="0" applyNumberFormat="1" applyFont="1" applyFill="1" applyBorder="1"/>
    <xf numFmtId="0" fontId="26" fillId="11" borderId="3" xfId="0" applyFont="1" applyFill="1" applyBorder="1"/>
    <xf numFmtId="3" fontId="26" fillId="31" borderId="3" xfId="0" applyNumberFormat="1" applyFont="1" applyFill="1" applyBorder="1"/>
    <xf numFmtId="168" fontId="25" fillId="11" borderId="3" xfId="0" applyNumberFormat="1" applyFont="1" applyFill="1" applyBorder="1"/>
    <xf numFmtId="9" fontId="25" fillId="11" borderId="3" xfId="0" applyNumberFormat="1" applyFont="1" applyFill="1" applyBorder="1"/>
    <xf numFmtId="168" fontId="25" fillId="32" borderId="3" xfId="0" applyNumberFormat="1" applyFont="1" applyFill="1" applyBorder="1"/>
    <xf numFmtId="9" fontId="25" fillId="32" borderId="3" xfId="0" applyNumberFormat="1" applyFont="1" applyFill="1" applyBorder="1"/>
    <xf numFmtId="9" fontId="26" fillId="33" borderId="3" xfId="0" applyNumberFormat="1" applyFont="1" applyFill="1" applyBorder="1"/>
    <xf numFmtId="3" fontId="26" fillId="33" borderId="3" xfId="0" applyNumberFormat="1" applyFont="1" applyFill="1" applyBorder="1"/>
    <xf numFmtId="168" fontId="26" fillId="33" borderId="3" xfId="0" applyNumberFormat="1" applyFont="1" applyFill="1" applyBorder="1"/>
    <xf numFmtId="9" fontId="26" fillId="11" borderId="3" xfId="0" applyNumberFormat="1" applyFont="1" applyFill="1" applyBorder="1"/>
    <xf numFmtId="0" fontId="26" fillId="31" borderId="7" xfId="0" applyFont="1" applyFill="1" applyBorder="1"/>
    <xf numFmtId="0" fontId="18" fillId="35" borderId="0" xfId="0" applyFont="1" applyFill="1"/>
    <xf numFmtId="0" fontId="18" fillId="36" borderId="3" xfId="0" applyFont="1" applyFill="1" applyBorder="1"/>
    <xf numFmtId="0" fontId="0" fillId="37" borderId="3" xfId="0" applyFill="1" applyBorder="1"/>
    <xf numFmtId="3" fontId="0" fillId="37" borderId="3" xfId="0" applyNumberFormat="1" applyFill="1" applyBorder="1"/>
    <xf numFmtId="0" fontId="1" fillId="38" borderId="3" xfId="0" applyFont="1" applyFill="1" applyBorder="1"/>
    <xf numFmtId="3" fontId="1" fillId="38" borderId="3" xfId="0" applyNumberFormat="1" applyFont="1" applyFill="1" applyBorder="1"/>
    <xf numFmtId="9" fontId="0" fillId="11" borderId="3" xfId="0" applyNumberFormat="1" applyFill="1" applyBorder="1"/>
    <xf numFmtId="9" fontId="0" fillId="37" borderId="3" xfId="0" applyNumberFormat="1" applyFill="1" applyBorder="1"/>
    <xf numFmtId="0" fontId="27" fillId="34" borderId="0" xfId="0" applyFont="1" applyFill="1" applyAlignment="1">
      <alignment horizontal="center"/>
    </xf>
    <xf numFmtId="0" fontId="17" fillId="13" borderId="0" xfId="0" applyFont="1" applyFill="1" applyAlignment="1">
      <alignment horizontal="center"/>
    </xf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  <xf numFmtId="0" fontId="27" fillId="29" borderId="0" xfId="0" applyFont="1" applyFill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F4F8A6"/>
      <color rgb="FFEFF57F"/>
      <color rgb="FFE6EF31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19</xdr:col>
      <xdr:colOff>121920</xdr:colOff>
      <xdr:row>32</xdr:row>
      <xdr:rowOff>160020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2CF4A89-60F4-7221-A30C-655C9E8E2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2880"/>
          <a:ext cx="10485120" cy="5829300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H4" sqref="H4:K12"/>
    </sheetView>
  </sheetViews>
  <sheetFormatPr defaultColWidth="8.77734375" defaultRowHeight="14.4" x14ac:dyDescent="0.3"/>
  <cols>
    <col min="1" max="1" width="20.6640625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INFOSYS LTD</v>
      </c>
      <c r="H1" t="str">
        <f>UPDATE</f>
        <v/>
      </c>
      <c r="J1" s="3"/>
      <c r="K1" s="3"/>
      <c r="M1" s="2" t="s">
        <v>1</v>
      </c>
    </row>
    <row r="3" spans="1:14" s="2" customFormat="1" x14ac:dyDescent="0.3">
      <c r="A3" s="11" t="s">
        <v>2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3</v>
      </c>
      <c r="M3" s="13" t="s">
        <v>4</v>
      </c>
      <c r="N3" s="13" t="s">
        <v>5</v>
      </c>
    </row>
    <row r="4" spans="1:14" s="2" customFormat="1" x14ac:dyDescent="0.3">
      <c r="A4" s="2" t="s">
        <v>6</v>
      </c>
      <c r="B4" s="1">
        <f>'Data Sheet'!B17</f>
        <v>62441</v>
      </c>
      <c r="C4" s="1">
        <f>'Data Sheet'!C17</f>
        <v>68484</v>
      </c>
      <c r="D4" s="1">
        <f>'Data Sheet'!D17</f>
        <v>70522</v>
      </c>
      <c r="E4" s="1">
        <f>'Data Sheet'!E17</f>
        <v>82675</v>
      </c>
      <c r="F4" s="1">
        <f>'Data Sheet'!F17</f>
        <v>90791</v>
      </c>
      <c r="G4" s="1">
        <f>'Data Sheet'!G17</f>
        <v>100472</v>
      </c>
      <c r="H4" s="1">
        <f>'Data Sheet'!H17</f>
        <v>121641</v>
      </c>
      <c r="I4" s="1">
        <f>'Data Sheet'!I17</f>
        <v>146767</v>
      </c>
      <c r="J4" s="1">
        <f>'Data Sheet'!J17</f>
        <v>153670</v>
      </c>
      <c r="K4" s="1">
        <f>'Data Sheet'!K17</f>
        <v>162990</v>
      </c>
      <c r="L4" s="1">
        <f>SUM(Quarters!H4:K4)</f>
        <v>173173</v>
      </c>
      <c r="M4" s="1">
        <f>$K4+M23*K4</f>
        <v>179688.91475688305</v>
      </c>
      <c r="N4" s="1">
        <f>$K4+N23*L4</f>
        <v>173809.19540462605</v>
      </c>
    </row>
    <row r="5" spans="1:14" x14ac:dyDescent="0.3">
      <c r="A5" t="s">
        <v>7</v>
      </c>
      <c r="B5" s="6">
        <f>SUM('Data Sheet'!B18,'Data Sheet'!B20:B24, -1*'Data Sheet'!B19)</f>
        <v>45362</v>
      </c>
      <c r="C5" s="6">
        <f>SUM('Data Sheet'!C18,'Data Sheet'!C20:C24, -1*'Data Sheet'!C19)</f>
        <v>49880</v>
      </c>
      <c r="D5" s="6">
        <f>SUM('Data Sheet'!D18,'Data Sheet'!D20:D24, -1*'Data Sheet'!D19)</f>
        <v>51700</v>
      </c>
      <c r="E5" s="6">
        <f>SUM('Data Sheet'!E18,'Data Sheet'!E20:E24, -1*'Data Sheet'!E19)</f>
        <v>62505</v>
      </c>
      <c r="F5" s="6">
        <f>SUM('Data Sheet'!F18,'Data Sheet'!F20:F24, -1*'Data Sheet'!F19)</f>
        <v>68524</v>
      </c>
      <c r="G5" s="6">
        <f>SUM('Data Sheet'!G18,'Data Sheet'!G20:G24, -1*'Data Sheet'!G19)</f>
        <v>72583</v>
      </c>
      <c r="H5" s="6">
        <f>SUM('Data Sheet'!H18,'Data Sheet'!H20:H24, -1*'Data Sheet'!H19)</f>
        <v>90150</v>
      </c>
      <c r="I5" s="6">
        <f>SUM('Data Sheet'!I18,'Data Sheet'!I20:I24, -1*'Data Sheet'!I19)</f>
        <v>111637</v>
      </c>
      <c r="J5" s="6">
        <f>SUM('Data Sheet'!J18,'Data Sheet'!J20:J24, -1*'Data Sheet'!J19)</f>
        <v>117245</v>
      </c>
      <c r="K5" s="6">
        <f>SUM('Data Sheet'!K18,'Data Sheet'!K20:K24, -1*'Data Sheet'!K19)</f>
        <v>123754</v>
      </c>
      <c r="L5" s="6">
        <f>SUM(Quarters!H5:K5)</f>
        <v>132187</v>
      </c>
      <c r="M5" s="6">
        <f t="shared" ref="M5:N5" si="0">M4-M6</f>
        <v>136730.87701883621</v>
      </c>
      <c r="N5" s="6">
        <f t="shared" si="0"/>
        <v>132672.62282775782</v>
      </c>
    </row>
    <row r="6" spans="1:14" s="2" customFormat="1" x14ac:dyDescent="0.3">
      <c r="A6" s="2" t="s">
        <v>8</v>
      </c>
      <c r="B6" s="1">
        <f>B4-B5</f>
        <v>17079</v>
      </c>
      <c r="C6" s="1">
        <f t="shared" ref="C6:K6" si="1">C4-C5</f>
        <v>18604</v>
      </c>
      <c r="D6" s="1">
        <f t="shared" si="1"/>
        <v>18822</v>
      </c>
      <c r="E6" s="1">
        <f t="shared" si="1"/>
        <v>20170</v>
      </c>
      <c r="F6" s="1">
        <f t="shared" si="1"/>
        <v>22267</v>
      </c>
      <c r="G6" s="1">
        <f t="shared" si="1"/>
        <v>27889</v>
      </c>
      <c r="H6" s="1">
        <f t="shared" si="1"/>
        <v>31491</v>
      </c>
      <c r="I6" s="1">
        <f t="shared" si="1"/>
        <v>35130</v>
      </c>
      <c r="J6" s="1">
        <f t="shared" si="1"/>
        <v>36425</v>
      </c>
      <c r="K6" s="1">
        <f t="shared" si="1"/>
        <v>39236</v>
      </c>
      <c r="L6" s="1">
        <f>SUM(Quarters!H6:K6)</f>
        <v>40986</v>
      </c>
      <c r="M6" s="1">
        <f>M4*M24</f>
        <v>42958.037738046834</v>
      </c>
      <c r="N6" s="1">
        <f>N4*N24</f>
        <v>41136.572576868239</v>
      </c>
    </row>
    <row r="7" spans="1:14" x14ac:dyDescent="0.3">
      <c r="A7" t="s">
        <v>9</v>
      </c>
      <c r="B7" s="6">
        <f>'Data Sheet'!B25</f>
        <v>3120</v>
      </c>
      <c r="C7" s="6">
        <f>'Data Sheet'!C25</f>
        <v>3050</v>
      </c>
      <c r="D7" s="6">
        <f>'Data Sheet'!D25</f>
        <v>3311</v>
      </c>
      <c r="E7" s="6">
        <f>'Data Sheet'!E25</f>
        <v>2882</v>
      </c>
      <c r="F7" s="6">
        <f>'Data Sheet'!F25</f>
        <v>2803</v>
      </c>
      <c r="G7" s="6">
        <f>'Data Sheet'!G25</f>
        <v>2201</v>
      </c>
      <c r="H7" s="6">
        <f>'Data Sheet'!H25</f>
        <v>2295</v>
      </c>
      <c r="I7" s="6">
        <f>'Data Sheet'!I25</f>
        <v>2701</v>
      </c>
      <c r="J7" s="6">
        <f>'Data Sheet'!J25</f>
        <v>4711</v>
      </c>
      <c r="K7" s="6">
        <f>'Data Sheet'!K25</f>
        <v>3600</v>
      </c>
      <c r="L7" s="6">
        <f>SUM(Quarters!H7:K7)</f>
        <v>3064</v>
      </c>
      <c r="M7" s="6">
        <v>0</v>
      </c>
      <c r="N7" s="6">
        <v>0</v>
      </c>
    </row>
    <row r="8" spans="1:14" x14ac:dyDescent="0.3">
      <c r="A8" t="s">
        <v>10</v>
      </c>
      <c r="B8" s="6">
        <f>'Data Sheet'!B26</f>
        <v>1459</v>
      </c>
      <c r="C8" s="6">
        <f>'Data Sheet'!C26</f>
        <v>1703</v>
      </c>
      <c r="D8" s="6">
        <f>'Data Sheet'!D26</f>
        <v>1863</v>
      </c>
      <c r="E8" s="6">
        <f>'Data Sheet'!E26</f>
        <v>2011</v>
      </c>
      <c r="F8" s="6">
        <f>'Data Sheet'!F26</f>
        <v>2893</v>
      </c>
      <c r="G8" s="6">
        <f>'Data Sheet'!G26</f>
        <v>3267</v>
      </c>
      <c r="H8" s="6">
        <f>'Data Sheet'!H26</f>
        <v>3476</v>
      </c>
      <c r="I8" s="6">
        <f>'Data Sheet'!I26</f>
        <v>4225</v>
      </c>
      <c r="J8" s="6">
        <f>'Data Sheet'!J26</f>
        <v>4678</v>
      </c>
      <c r="K8" s="6">
        <f>'Data Sheet'!K26</f>
        <v>4812</v>
      </c>
      <c r="L8" s="6">
        <f>SUM(Quarters!H8:K8)</f>
        <v>4776</v>
      </c>
      <c r="M8" s="6">
        <f>+$L8</f>
        <v>4776</v>
      </c>
      <c r="N8" s="6">
        <f>+$L8</f>
        <v>4776</v>
      </c>
    </row>
    <row r="9" spans="1:14" x14ac:dyDescent="0.3">
      <c r="A9" t="s">
        <v>11</v>
      </c>
      <c r="B9" s="6">
        <f>'Data Sheet'!B27</f>
        <v>0</v>
      </c>
      <c r="C9" s="6">
        <f>'Data Sheet'!C27</f>
        <v>0</v>
      </c>
      <c r="D9" s="6">
        <f>'Data Sheet'!D27</f>
        <v>0</v>
      </c>
      <c r="E9" s="6">
        <f>'Data Sheet'!E27</f>
        <v>0</v>
      </c>
      <c r="F9" s="6">
        <f>'Data Sheet'!F27</f>
        <v>170</v>
      </c>
      <c r="G9" s="6">
        <f>'Data Sheet'!G27</f>
        <v>195</v>
      </c>
      <c r="H9" s="6">
        <f>'Data Sheet'!H27</f>
        <v>200</v>
      </c>
      <c r="I9" s="6">
        <f>'Data Sheet'!I27</f>
        <v>284</v>
      </c>
      <c r="J9" s="6">
        <f>'Data Sheet'!J27</f>
        <v>470</v>
      </c>
      <c r="K9" s="6">
        <f>'Data Sheet'!K27</f>
        <v>416</v>
      </c>
      <c r="L9" s="6">
        <f>SUM(Quarters!H9:K9)</f>
        <v>413</v>
      </c>
      <c r="M9" s="6">
        <f>+$L9</f>
        <v>413</v>
      </c>
      <c r="N9" s="6">
        <f>+$L9</f>
        <v>413</v>
      </c>
    </row>
    <row r="10" spans="1:14" x14ac:dyDescent="0.3">
      <c r="A10" t="s">
        <v>12</v>
      </c>
      <c r="B10" s="6">
        <f>'Data Sheet'!B28</f>
        <v>18740</v>
      </c>
      <c r="C10" s="6">
        <f>'Data Sheet'!C28</f>
        <v>19951</v>
      </c>
      <c r="D10" s="6">
        <f>'Data Sheet'!D28</f>
        <v>20270</v>
      </c>
      <c r="E10" s="6">
        <f>'Data Sheet'!E28</f>
        <v>21041</v>
      </c>
      <c r="F10" s="6">
        <f>'Data Sheet'!F28</f>
        <v>22007</v>
      </c>
      <c r="G10" s="6">
        <f>'Data Sheet'!G28</f>
        <v>26628</v>
      </c>
      <c r="H10" s="6">
        <f>'Data Sheet'!H28</f>
        <v>30110</v>
      </c>
      <c r="I10" s="6">
        <f>'Data Sheet'!I28</f>
        <v>33322</v>
      </c>
      <c r="J10" s="6">
        <f>'Data Sheet'!J28</f>
        <v>35988</v>
      </c>
      <c r="K10" s="6">
        <f>'Data Sheet'!K28</f>
        <v>37608</v>
      </c>
      <c r="L10" s="6">
        <f>SUM(Quarters!H10:K10)</f>
        <v>38861</v>
      </c>
      <c r="M10" s="6">
        <f>M6+M7-SUM(M8:M9)</f>
        <v>37769.037738046834</v>
      </c>
      <c r="N10" s="6">
        <f>N6+N7-SUM(N8:N9)</f>
        <v>35947.572576868239</v>
      </c>
    </row>
    <row r="11" spans="1:14" x14ac:dyDescent="0.3">
      <c r="A11" t="s">
        <v>13</v>
      </c>
      <c r="B11" s="6">
        <f>'Data Sheet'!B29</f>
        <v>5251</v>
      </c>
      <c r="C11" s="6">
        <f>'Data Sheet'!C29</f>
        <v>5598</v>
      </c>
      <c r="D11" s="6">
        <f>'Data Sheet'!D29</f>
        <v>4241</v>
      </c>
      <c r="E11" s="6">
        <f>'Data Sheet'!E29</f>
        <v>5631</v>
      </c>
      <c r="F11" s="6">
        <f>'Data Sheet'!F29</f>
        <v>5368</v>
      </c>
      <c r="G11" s="6">
        <f>'Data Sheet'!G29</f>
        <v>7205</v>
      </c>
      <c r="H11" s="6">
        <f>'Data Sheet'!H29</f>
        <v>7964</v>
      </c>
      <c r="I11" s="6">
        <f>'Data Sheet'!I29</f>
        <v>9214</v>
      </c>
      <c r="J11" s="6">
        <f>'Data Sheet'!J29</f>
        <v>9740</v>
      </c>
      <c r="K11" s="6">
        <f>'Data Sheet'!K29</f>
        <v>10858</v>
      </c>
      <c r="L11" s="6">
        <f>SUM(Quarters!H11:K11)</f>
        <v>10858</v>
      </c>
      <c r="M11" s="7">
        <f>IF($L10&gt;0,$L11/$L10,0)</f>
        <v>0.27940608836622838</v>
      </c>
      <c r="N11" s="7">
        <f>IF($L10&gt;0,$L11/$L10,0)</f>
        <v>0.27940608836622838</v>
      </c>
    </row>
    <row r="12" spans="1:14" s="2" customFormat="1" x14ac:dyDescent="0.3">
      <c r="A12" s="2" t="s">
        <v>14</v>
      </c>
      <c r="B12" s="1">
        <f>'Data Sheet'!B30</f>
        <v>13489</v>
      </c>
      <c r="C12" s="1">
        <f>'Data Sheet'!C30</f>
        <v>14353</v>
      </c>
      <c r="D12" s="1">
        <f>'Data Sheet'!D30</f>
        <v>16029</v>
      </c>
      <c r="E12" s="1">
        <f>'Data Sheet'!E30</f>
        <v>15404</v>
      </c>
      <c r="F12" s="1">
        <f>'Data Sheet'!F30</f>
        <v>16594</v>
      </c>
      <c r="G12" s="1">
        <f>'Data Sheet'!G30</f>
        <v>19351</v>
      </c>
      <c r="H12" s="1">
        <f>'Data Sheet'!H30</f>
        <v>22110</v>
      </c>
      <c r="I12" s="1">
        <f>'Data Sheet'!I30</f>
        <v>24095</v>
      </c>
      <c r="J12" s="1">
        <f>'Data Sheet'!J30</f>
        <v>26233</v>
      </c>
      <c r="K12" s="1">
        <f>'Data Sheet'!K30</f>
        <v>26713</v>
      </c>
      <c r="L12" s="1">
        <f>SUM(Quarters!H12:K12)</f>
        <v>27972</v>
      </c>
      <c r="M12" s="1">
        <f>M10-M11*M10</f>
        <v>27216.138642302707</v>
      </c>
      <c r="N12" s="1">
        <f>N10-N11*N10</f>
        <v>25903.601936904386</v>
      </c>
    </row>
    <row r="13" spans="1:14" x14ac:dyDescent="0.3">
      <c r="A13" t="s">
        <v>57</v>
      </c>
      <c r="B13" s="6">
        <f>IF('Data Sheet'!B93&gt;0,B12/'Data Sheet'!B93,0)</f>
        <v>29.362850736846688</v>
      </c>
      <c r="C13" s="6">
        <f>IF('Data Sheet'!C93&gt;0,C12/'Data Sheet'!C93,0)</f>
        <v>31.243605650971944</v>
      </c>
      <c r="D13" s="6">
        <f>IF('Data Sheet'!D93&gt;0,D12/'Data Sheet'!D93,0)</f>
        <v>36.694748408955633</v>
      </c>
      <c r="E13" s="6">
        <f>IF('Data Sheet'!E93&gt;0,E12/'Data Sheet'!E93,0)</f>
        <v>35.258303005333154</v>
      </c>
      <c r="F13" s="6">
        <f>IF('Data Sheet'!F93&gt;0,F12/'Data Sheet'!F93,0)</f>
        <v>38.962197698990373</v>
      </c>
      <c r="G13" s="6">
        <f>IF('Data Sheet'!G93&gt;0,G12/'Data Sheet'!G93,0)</f>
        <v>45.417419672823712</v>
      </c>
      <c r="H13" s="6">
        <f>IF('Data Sheet'!H93&gt;0,H12/'Data Sheet'!H93,0)</f>
        <v>52.559013003066532</v>
      </c>
      <c r="I13" s="6">
        <f>IF('Data Sheet'!I93&gt;0,I12/'Data Sheet'!I93,0)</f>
        <v>58.079834160921756</v>
      </c>
      <c r="J13" s="6">
        <f>IF('Data Sheet'!J93&gt;0,J12/'Data Sheet'!J93,0)</f>
        <v>63.198342528126432</v>
      </c>
      <c r="K13" s="6">
        <f>IF('Data Sheet'!K93&gt;0,K12/'Data Sheet'!K93,0)</f>
        <v>64.317530638287636</v>
      </c>
      <c r="L13" s="6">
        <f>IF('Data Sheet'!$B6&gt;0,'Profit &amp; Loss'!L12/'Data Sheet'!$B6,0)</f>
        <v>68.974851367893336</v>
      </c>
      <c r="M13" s="6">
        <f>IF('Data Sheet'!$B6&gt;0,'Profit &amp; Loss'!M12/'Data Sheet'!$B6,0)</f>
        <v>67.111008067381931</v>
      </c>
      <c r="N13" s="6">
        <f>IF('Data Sheet'!$B6&gt;0,'Profit &amp; Loss'!N12/'Data Sheet'!$B6,0)</f>
        <v>63.874484966790142</v>
      </c>
    </row>
    <row r="14" spans="1:14" x14ac:dyDescent="0.3">
      <c r="A14" t="s">
        <v>16</v>
      </c>
      <c r="B14" s="6">
        <f>IF(B15&gt;0,B15/B13,"")</f>
        <v>20.745601490103045</v>
      </c>
      <c r="C14" s="6">
        <f t="shared" ref="C14:K14" si="2">IF(C15&gt;0,C15/C13,"")</f>
        <v>16.359507468821846</v>
      </c>
      <c r="D14" s="6">
        <f t="shared" si="2"/>
        <v>15.421825316613639</v>
      </c>
      <c r="E14" s="6">
        <f t="shared" si="2"/>
        <v>21.097158303038171</v>
      </c>
      <c r="F14" s="6">
        <f t="shared" si="2"/>
        <v>16.464676991683742</v>
      </c>
      <c r="G14" s="6">
        <f t="shared" si="2"/>
        <v>30.121702418479664</v>
      </c>
      <c r="H14" s="6">
        <f t="shared" si="2"/>
        <v>36.280171393034827</v>
      </c>
      <c r="I14" s="6">
        <f t="shared" si="2"/>
        <v>24.585986179705333</v>
      </c>
      <c r="J14" s="6">
        <f t="shared" si="2"/>
        <v>23.703944440208897</v>
      </c>
      <c r="K14" s="6">
        <f t="shared" si="2"/>
        <v>24.420247239171935</v>
      </c>
      <c r="L14" s="6">
        <f t="shared" ref="L14" si="3">IF(L13&gt;0,L15/L13,0)</f>
        <v>18.848898898898899</v>
      </c>
      <c r="M14" s="6">
        <f>M25</f>
        <v>22.889769189496267</v>
      </c>
      <c r="N14" s="6">
        <f>N25</f>
        <v>18.848898898898899</v>
      </c>
    </row>
    <row r="15" spans="1:14" s="2" customFormat="1" x14ac:dyDescent="0.3">
      <c r="A15" s="2" t="s">
        <v>58</v>
      </c>
      <c r="B15" s="1">
        <f>'Data Sheet'!B90</f>
        <v>609.15</v>
      </c>
      <c r="C15" s="1">
        <f>'Data Sheet'!C90</f>
        <v>511.13</v>
      </c>
      <c r="D15" s="1">
        <f>'Data Sheet'!D90</f>
        <v>565.9</v>
      </c>
      <c r="E15" s="1">
        <f>'Data Sheet'!E90</f>
        <v>743.85</v>
      </c>
      <c r="F15" s="1">
        <f>'Data Sheet'!F90</f>
        <v>641.5</v>
      </c>
      <c r="G15" s="1">
        <f>'Data Sheet'!G90</f>
        <v>1368.05</v>
      </c>
      <c r="H15" s="1">
        <f>'Data Sheet'!H90</f>
        <v>1906.85</v>
      </c>
      <c r="I15" s="1">
        <f>'Data Sheet'!I90</f>
        <v>1427.95</v>
      </c>
      <c r="J15" s="1">
        <f>'Data Sheet'!J90</f>
        <v>1498.05</v>
      </c>
      <c r="K15" s="1">
        <f>'Data Sheet'!K90</f>
        <v>1570.65</v>
      </c>
      <c r="L15" s="1">
        <f>'Data Sheet'!B8</f>
        <v>1300.0999999999999</v>
      </c>
      <c r="M15" s="8">
        <f>M13*M14</f>
        <v>1536.1554847367943</v>
      </c>
      <c r="N15" s="9">
        <f>N13*N14</f>
        <v>1203.9637093582649</v>
      </c>
    </row>
    <row r="17" spans="1:14" s="2" customFormat="1" x14ac:dyDescent="0.3">
      <c r="A17" s="2" t="s">
        <v>15</v>
      </c>
    </row>
    <row r="18" spans="1:14" x14ac:dyDescent="0.3">
      <c r="A18" t="s">
        <v>17</v>
      </c>
      <c r="B18" s="5">
        <f>IF('Data Sheet'!B30&gt;0, 'Data Sheet'!B31/'Data Sheet'!B30, 0)</f>
        <v>0.41132774853584397</v>
      </c>
      <c r="C18" s="5">
        <f>IF('Data Sheet'!C30&gt;0, 'Data Sheet'!C31/'Data Sheet'!C30, 0)</f>
        <v>0.4104786455793214</v>
      </c>
      <c r="D18" s="5">
        <f>IF('Data Sheet'!D30&gt;0, 'Data Sheet'!D31/'Data Sheet'!D30, 0)</f>
        <v>0.5905296649822197</v>
      </c>
      <c r="E18" s="5">
        <f>IF('Data Sheet'!E30&gt;0, 'Data Sheet'!E31/'Data Sheet'!E30, 0)</f>
        <v>0.5987081277590236</v>
      </c>
      <c r="F18" s="5">
        <f>IF('Data Sheet'!F30&gt;0, 'Data Sheet'!F31/'Data Sheet'!F30, 0)</f>
        <v>0.44757141135350126</v>
      </c>
      <c r="G18" s="5">
        <f>IF('Data Sheet'!G30&gt;0, 'Data Sheet'!G31/'Data Sheet'!G30, 0)</f>
        <v>0.59271355485504629</v>
      </c>
      <c r="H18" s="5">
        <f>IF('Data Sheet'!H30&gt;0, 'Data Sheet'!H31/'Data Sheet'!H30, 0)</f>
        <v>0.58831298055178649</v>
      </c>
      <c r="I18" s="5">
        <f>IF('Data Sheet'!I30&gt;0, 'Data Sheet'!I31/'Data Sheet'!I30, 0)</f>
        <v>0.58390537455903713</v>
      </c>
      <c r="J18" s="5">
        <f>IF('Data Sheet'!J30&gt;0, 'Data Sheet'!J31/'Data Sheet'!J30, 0)</f>
        <v>0.72630656043914155</v>
      </c>
      <c r="K18" s="5">
        <f>IF('Data Sheet'!K30&gt;0, 'Data Sheet'!K31/'Data Sheet'!K30, 0)</f>
        <v>0.66738292217272488</v>
      </c>
    </row>
    <row r="19" spans="1:14" x14ac:dyDescent="0.3">
      <c r="A19" t="s">
        <v>18</v>
      </c>
      <c r="B19" s="5">
        <f t="shared" ref="B19:L19" si="4">IF(B6&gt;0,B6/B4,0)</f>
        <v>0.27352220496148366</v>
      </c>
      <c r="C19" s="5">
        <f t="shared" ref="C19:K19" si="5">IF(C6&gt;0,C6/C4,0)</f>
        <v>0.27165469306699375</v>
      </c>
      <c r="D19" s="5">
        <f t="shared" si="5"/>
        <v>0.26689543688494372</v>
      </c>
      <c r="E19" s="5">
        <f t="shared" si="5"/>
        <v>0.24396734200181433</v>
      </c>
      <c r="F19" s="5">
        <f t="shared" si="5"/>
        <v>0.24525558700752279</v>
      </c>
      <c r="G19" s="5">
        <f t="shared" si="5"/>
        <v>0.27757982323433394</v>
      </c>
      <c r="H19" s="5">
        <f t="shared" si="5"/>
        <v>0.25888475102966929</v>
      </c>
      <c r="I19" s="5">
        <f t="shared" si="5"/>
        <v>0.23935898396778568</v>
      </c>
      <c r="J19" s="5">
        <f t="shared" si="5"/>
        <v>0.23703390381987374</v>
      </c>
      <c r="K19" s="5">
        <f t="shared" si="5"/>
        <v>0.24072642493404503</v>
      </c>
      <c r="L19" s="5">
        <f t="shared" si="4"/>
        <v>0.23667661817950836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3">
      <c r="A23"/>
      <c r="B23"/>
      <c r="C23"/>
      <c r="D23"/>
      <c r="E23"/>
      <c r="F23"/>
      <c r="G23" t="s">
        <v>22</v>
      </c>
      <c r="H23" s="5">
        <f>IF(B4=0,"",POWER($K4/B4,1/9)-1)</f>
        <v>0.11249741935076951</v>
      </c>
      <c r="I23" s="5">
        <f>IF(D4=0,"",POWER($K4/D4,1/7)-1)</f>
        <v>0.12713677553728409</v>
      </c>
      <c r="J23" s="5">
        <f>IF(F4=0,"",POWER($K4/F4,1/5)-1)</f>
        <v>0.12414836208210134</v>
      </c>
      <c r="K23" s="5">
        <f>IF(H4=0,"",POWER($K4/H4, 1/3)-1)</f>
        <v>0.10245361529469932</v>
      </c>
      <c r="L23" s="5">
        <f>IF(ISERROR(MAX(IF(J4=0,"",(K4-J4)/J4),IF(K4=0,"",(L4-K4)/K4))),"",MAX(IF(J4=0,"",(K4-J4)/J4),IF(K4=0,"",(L4-K4)/K4)))</f>
        <v>6.2476225535308912E-2</v>
      </c>
      <c r="M23" s="16">
        <f>MAX(K23:L23)</f>
        <v>0.10245361529469932</v>
      </c>
      <c r="N23" s="16">
        <f>MIN(H23:L23)</f>
        <v>6.2476225535308912E-2</v>
      </c>
    </row>
    <row r="24" spans="1:14" x14ac:dyDescent="0.3">
      <c r="G24" t="s">
        <v>18</v>
      </c>
      <c r="H24" s="5">
        <f>IF(SUM(B4:$K$4)=0,"",SUMPRODUCT(B19:$K$19,B4:$K$4)/SUM(B4:$K$4))</f>
        <v>0.25188575071219566</v>
      </c>
      <c r="I24" s="5">
        <f>IF(SUM(E4:$K$4)=0,"",SUMPRODUCT(E19:$K$19,E4:$K$4)/SUM(E4:$K$4))</f>
        <v>0.2475046740069336</v>
      </c>
      <c r="J24" s="5">
        <f>IF(SUM(G4:$K$4)=0,"",SUMPRODUCT(G19:$K$19,G4:$K$4)/SUM(G4:$K$4))</f>
        <v>0.24822913323803134</v>
      </c>
      <c r="K24" s="5">
        <f>IF(SUM(I4:$K$4)=0, "", SUMPRODUCT(I19:$K$19,I4:$K$4)/SUM(I4:$K$4))</f>
        <v>0.23906893642364385</v>
      </c>
      <c r="L24" s="5">
        <f>L19</f>
        <v>0.23667661817950836</v>
      </c>
      <c r="M24" s="16">
        <f>MAX(K24:L24)</f>
        <v>0.23906893642364385</v>
      </c>
      <c r="N24" s="16">
        <f>MIN(H24:L24)</f>
        <v>0.23667661817950836</v>
      </c>
    </row>
    <row r="25" spans="1:14" x14ac:dyDescent="0.3">
      <c r="G25" t="s">
        <v>23</v>
      </c>
      <c r="H25" s="6">
        <f>IF(ISERROR(AVERAGEIF(B14:$L14,"&gt;0")),"",AVERAGEIF(B14:$L14,"&gt;0"))</f>
        <v>22.549974558160002</v>
      </c>
      <c r="I25" s="6">
        <f>IF(ISERROR(AVERAGEIF(E14:$L14,"&gt;0")),"",AVERAGEIF(E14:$L14,"&gt;0"))</f>
        <v>24.440348233027688</v>
      </c>
      <c r="J25" s="6">
        <f>IF(ISERROR(AVERAGEIF(G14:$L14,"&gt;0")),"",AVERAGEIF(G14:$L14,"&gt;0"))</f>
        <v>26.326825094916597</v>
      </c>
      <c r="K25" s="6">
        <f>IF(ISERROR(AVERAGEIF(I14:$L14,"&gt;0")),"",AVERAGEIF(I14:$L14,"&gt;0"))</f>
        <v>22.889769189496267</v>
      </c>
      <c r="L25" s="6">
        <f>L14</f>
        <v>18.848898898898899</v>
      </c>
      <c r="M25" s="1">
        <f>MAX(K25:L25)</f>
        <v>22.889769189496267</v>
      </c>
      <c r="N25" s="1">
        <f>MIN(H25:L25)</f>
        <v>18.848898898898899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customWidth="1"/>
    <col min="2" max="11" width="13.44140625" bestFit="1" customWidth="1"/>
  </cols>
  <sheetData>
    <row r="1" spans="1:11" s="2" customFormat="1" x14ac:dyDescent="0.3">
      <c r="A1" s="2" t="str">
        <f>'Profit &amp; Loss'!A1</f>
        <v>INFOSYS LTD</v>
      </c>
      <c r="E1" t="str">
        <f>UPDATE</f>
        <v/>
      </c>
      <c r="J1" s="2" t="s">
        <v>1</v>
      </c>
    </row>
    <row r="3" spans="1:11" s="2" customFormat="1" x14ac:dyDescent="0.3">
      <c r="A3" s="11" t="s">
        <v>2</v>
      </c>
      <c r="B3" s="12">
        <f>'Data Sheet'!B41</f>
        <v>45199</v>
      </c>
      <c r="C3" s="12">
        <f>'Data Sheet'!C41</f>
        <v>45291</v>
      </c>
      <c r="D3" s="12">
        <f>'Data Sheet'!D41</f>
        <v>45382</v>
      </c>
      <c r="E3" s="12">
        <f>'Data Sheet'!E41</f>
        <v>45473</v>
      </c>
      <c r="F3" s="12">
        <f>'Data Sheet'!F41</f>
        <v>45565</v>
      </c>
      <c r="G3" s="12">
        <f>'Data Sheet'!G41</f>
        <v>45657</v>
      </c>
      <c r="H3" s="12">
        <f>'Data Sheet'!H41</f>
        <v>45747</v>
      </c>
      <c r="I3" s="12">
        <f>'Data Sheet'!I41</f>
        <v>45838</v>
      </c>
      <c r="J3" s="12">
        <f>'Data Sheet'!J41</f>
        <v>45930</v>
      </c>
      <c r="K3" s="12">
        <f>'Data Sheet'!K41</f>
        <v>46022</v>
      </c>
    </row>
    <row r="4" spans="1:11" s="2" customFormat="1" x14ac:dyDescent="0.3">
      <c r="A4" s="2" t="s">
        <v>6</v>
      </c>
      <c r="B4" s="1">
        <f>'Data Sheet'!B42</f>
        <v>38994</v>
      </c>
      <c r="C4" s="1">
        <f>'Data Sheet'!C42</f>
        <v>38821</v>
      </c>
      <c r="D4" s="1">
        <f>'Data Sheet'!D42</f>
        <v>37923</v>
      </c>
      <c r="E4" s="1">
        <f>'Data Sheet'!E42</f>
        <v>39315</v>
      </c>
      <c r="F4" s="1">
        <f>'Data Sheet'!F42</f>
        <v>40986</v>
      </c>
      <c r="G4" s="1">
        <f>'Data Sheet'!G42</f>
        <v>41764</v>
      </c>
      <c r="H4" s="1">
        <f>'Data Sheet'!H42</f>
        <v>40925</v>
      </c>
      <c r="I4" s="1">
        <f>'Data Sheet'!I42</f>
        <v>42279</v>
      </c>
      <c r="J4" s="1">
        <f>'Data Sheet'!J42</f>
        <v>44490</v>
      </c>
      <c r="K4" s="1">
        <f>'Data Sheet'!K42</f>
        <v>45479</v>
      </c>
    </row>
    <row r="5" spans="1:11" x14ac:dyDescent="0.3">
      <c r="A5" t="s">
        <v>7</v>
      </c>
      <c r="B5" s="6">
        <f>'Data Sheet'!B43</f>
        <v>29554</v>
      </c>
      <c r="C5" s="6">
        <f>'Data Sheet'!C43</f>
        <v>29684</v>
      </c>
      <c r="D5" s="6">
        <f>'Data Sheet'!D43</f>
        <v>29139</v>
      </c>
      <c r="E5" s="6">
        <f>'Data Sheet'!E43</f>
        <v>29878</v>
      </c>
      <c r="F5" s="6">
        <f>'Data Sheet'!F43</f>
        <v>31177</v>
      </c>
      <c r="G5" s="6">
        <f>'Data Sheet'!G43</f>
        <v>31649</v>
      </c>
      <c r="H5" s="6">
        <f>'Data Sheet'!H43</f>
        <v>31051</v>
      </c>
      <c r="I5" s="6">
        <f>'Data Sheet'!I43</f>
        <v>32336</v>
      </c>
      <c r="J5" s="6">
        <f>'Data Sheet'!J43</f>
        <v>33955</v>
      </c>
      <c r="K5" s="6">
        <f>'Data Sheet'!K43</f>
        <v>34845</v>
      </c>
    </row>
    <row r="6" spans="1:11" s="2" customFormat="1" x14ac:dyDescent="0.3">
      <c r="A6" s="2" t="s">
        <v>8</v>
      </c>
      <c r="B6" s="1">
        <f>'Data Sheet'!B50</f>
        <v>9440</v>
      </c>
      <c r="C6" s="1">
        <f>'Data Sheet'!C50</f>
        <v>9137</v>
      </c>
      <c r="D6" s="1">
        <f>'Data Sheet'!D50</f>
        <v>8784</v>
      </c>
      <c r="E6" s="1">
        <f>'Data Sheet'!E50</f>
        <v>9437</v>
      </c>
      <c r="F6" s="1">
        <f>'Data Sheet'!F50</f>
        <v>9809</v>
      </c>
      <c r="G6" s="1">
        <f>'Data Sheet'!G50</f>
        <v>10115</v>
      </c>
      <c r="H6" s="1">
        <f>'Data Sheet'!H50</f>
        <v>9874</v>
      </c>
      <c r="I6" s="1">
        <f>'Data Sheet'!I50</f>
        <v>9943</v>
      </c>
      <c r="J6" s="1">
        <f>'Data Sheet'!J50</f>
        <v>10535</v>
      </c>
      <c r="K6" s="1">
        <f>'Data Sheet'!K50</f>
        <v>10634</v>
      </c>
    </row>
    <row r="7" spans="1:11" x14ac:dyDescent="0.3">
      <c r="A7" t="s">
        <v>9</v>
      </c>
      <c r="B7" s="6">
        <f>'Data Sheet'!B44</f>
        <v>632</v>
      </c>
      <c r="C7" s="6">
        <f>'Data Sheet'!C44</f>
        <v>789</v>
      </c>
      <c r="D7" s="6">
        <f>'Data Sheet'!D44</f>
        <v>2729</v>
      </c>
      <c r="E7" s="6">
        <f>'Data Sheet'!E44</f>
        <v>838</v>
      </c>
      <c r="F7" s="6">
        <f>'Data Sheet'!F44</f>
        <v>712</v>
      </c>
      <c r="G7" s="6">
        <f>'Data Sheet'!G44</f>
        <v>859</v>
      </c>
      <c r="H7" s="6">
        <f>'Data Sheet'!H44</f>
        <v>1190</v>
      </c>
      <c r="I7" s="6">
        <f>'Data Sheet'!I44</f>
        <v>1042</v>
      </c>
      <c r="J7" s="6">
        <f>'Data Sheet'!J44</f>
        <v>982</v>
      </c>
      <c r="K7" s="6">
        <f>'Data Sheet'!K44</f>
        <v>-150</v>
      </c>
    </row>
    <row r="8" spans="1:11" x14ac:dyDescent="0.3">
      <c r="A8" t="s">
        <v>10</v>
      </c>
      <c r="B8" s="6">
        <f>'Data Sheet'!B45</f>
        <v>1166</v>
      </c>
      <c r="C8" s="6">
        <f>'Data Sheet'!C45</f>
        <v>1176</v>
      </c>
      <c r="D8" s="6">
        <f>'Data Sheet'!D45</f>
        <v>1163</v>
      </c>
      <c r="E8" s="6">
        <f>'Data Sheet'!E45</f>
        <v>1149</v>
      </c>
      <c r="F8" s="6">
        <f>'Data Sheet'!F45</f>
        <v>1160</v>
      </c>
      <c r="G8" s="6">
        <f>'Data Sheet'!G45</f>
        <v>1203</v>
      </c>
      <c r="H8" s="6">
        <f>'Data Sheet'!H45</f>
        <v>1299</v>
      </c>
      <c r="I8" s="6">
        <f>'Data Sheet'!I45</f>
        <v>1140</v>
      </c>
      <c r="J8" s="6">
        <f>'Data Sheet'!J45</f>
        <v>1182</v>
      </c>
      <c r="K8" s="6">
        <f>'Data Sheet'!K45</f>
        <v>1155</v>
      </c>
    </row>
    <row r="9" spans="1:11" x14ac:dyDescent="0.3">
      <c r="A9" t="s">
        <v>11</v>
      </c>
      <c r="B9" s="6">
        <f>'Data Sheet'!B46</f>
        <v>138</v>
      </c>
      <c r="C9" s="6">
        <f>'Data Sheet'!C46</f>
        <v>131</v>
      </c>
      <c r="D9" s="6">
        <f>'Data Sheet'!D46</f>
        <v>110</v>
      </c>
      <c r="E9" s="6">
        <f>'Data Sheet'!E46</f>
        <v>105</v>
      </c>
      <c r="F9" s="6">
        <f>'Data Sheet'!F46</f>
        <v>108</v>
      </c>
      <c r="G9" s="6">
        <f>'Data Sheet'!G46</f>
        <v>101</v>
      </c>
      <c r="H9" s="6">
        <f>'Data Sheet'!H46</f>
        <v>102</v>
      </c>
      <c r="I9" s="6">
        <f>'Data Sheet'!I46</f>
        <v>105</v>
      </c>
      <c r="J9" s="6">
        <f>'Data Sheet'!J46</f>
        <v>106</v>
      </c>
      <c r="K9" s="6">
        <f>'Data Sheet'!K46</f>
        <v>100</v>
      </c>
    </row>
    <row r="10" spans="1:11" x14ac:dyDescent="0.3">
      <c r="A10" t="s">
        <v>12</v>
      </c>
      <c r="B10" s="6">
        <f>'Data Sheet'!B47</f>
        <v>8768</v>
      </c>
      <c r="C10" s="6">
        <f>'Data Sheet'!C47</f>
        <v>8619</v>
      </c>
      <c r="D10" s="6">
        <f>'Data Sheet'!D47</f>
        <v>10240</v>
      </c>
      <c r="E10" s="6">
        <f>'Data Sheet'!E47</f>
        <v>9021</v>
      </c>
      <c r="F10" s="6">
        <f>'Data Sheet'!F47</f>
        <v>9253</v>
      </c>
      <c r="G10" s="6">
        <f>'Data Sheet'!G47</f>
        <v>9670</v>
      </c>
      <c r="H10" s="6">
        <f>'Data Sheet'!H47</f>
        <v>9663</v>
      </c>
      <c r="I10" s="6">
        <f>'Data Sheet'!I47</f>
        <v>9740</v>
      </c>
      <c r="J10" s="6">
        <f>'Data Sheet'!J47</f>
        <v>10229</v>
      </c>
      <c r="K10" s="6">
        <f>'Data Sheet'!K47</f>
        <v>9229</v>
      </c>
    </row>
    <row r="11" spans="1:11" x14ac:dyDescent="0.3">
      <c r="A11" t="s">
        <v>13</v>
      </c>
      <c r="B11" s="6">
        <f>'Data Sheet'!B48</f>
        <v>2553</v>
      </c>
      <c r="C11" s="6">
        <f>'Data Sheet'!C48</f>
        <v>2506</v>
      </c>
      <c r="D11" s="6">
        <f>'Data Sheet'!D48</f>
        <v>2265</v>
      </c>
      <c r="E11" s="6">
        <f>'Data Sheet'!E48</f>
        <v>2647</v>
      </c>
      <c r="F11" s="6">
        <f>'Data Sheet'!F48</f>
        <v>2737</v>
      </c>
      <c r="G11" s="6">
        <f>'Data Sheet'!G48</f>
        <v>2848</v>
      </c>
      <c r="H11" s="6">
        <f>'Data Sheet'!H48</f>
        <v>2625</v>
      </c>
      <c r="I11" s="6">
        <f>'Data Sheet'!I48</f>
        <v>2816</v>
      </c>
      <c r="J11" s="6">
        <f>'Data Sheet'!J48</f>
        <v>2854</v>
      </c>
      <c r="K11" s="6">
        <f>'Data Sheet'!K48</f>
        <v>2563</v>
      </c>
    </row>
    <row r="12" spans="1:11" s="2" customFormat="1" x14ac:dyDescent="0.3">
      <c r="A12" s="2" t="s">
        <v>14</v>
      </c>
      <c r="B12" s="1">
        <f>'Data Sheet'!B49</f>
        <v>6212</v>
      </c>
      <c r="C12" s="1">
        <f>'Data Sheet'!C49</f>
        <v>6106</v>
      </c>
      <c r="D12" s="1">
        <f>'Data Sheet'!D49</f>
        <v>7969</v>
      </c>
      <c r="E12" s="1">
        <f>'Data Sheet'!E49</f>
        <v>6368</v>
      </c>
      <c r="F12" s="1">
        <f>'Data Sheet'!F49</f>
        <v>6506</v>
      </c>
      <c r="G12" s="1">
        <f>'Data Sheet'!G49</f>
        <v>6806</v>
      </c>
      <c r="H12" s="1">
        <f>'Data Sheet'!H49</f>
        <v>7033</v>
      </c>
      <c r="I12" s="1">
        <f>'Data Sheet'!I49</f>
        <v>6921</v>
      </c>
      <c r="J12" s="1">
        <f>'Data Sheet'!J49</f>
        <v>7364</v>
      </c>
      <c r="K12" s="1">
        <f>'Data Sheet'!K49</f>
        <v>6654</v>
      </c>
    </row>
    <row r="14" spans="1:11" s="2" customFormat="1" x14ac:dyDescent="0.3">
      <c r="A14" s="2" t="s">
        <v>18</v>
      </c>
      <c r="B14" s="10">
        <f>IF(B4&gt;0,B6/B4,"")</f>
        <v>0.24208852643996512</v>
      </c>
      <c r="C14" s="10">
        <f t="shared" ref="C14:K14" si="0">IF(C4&gt;0,C6/C4,"")</f>
        <v>0.23536230390767884</v>
      </c>
      <c r="D14" s="10">
        <f t="shared" si="0"/>
        <v>0.2316272446800095</v>
      </c>
      <c r="E14" s="10">
        <f t="shared" si="0"/>
        <v>0.24003560981813557</v>
      </c>
      <c r="F14" s="10">
        <f t="shared" si="0"/>
        <v>0.23932562338359439</v>
      </c>
      <c r="G14" s="10">
        <f t="shared" si="0"/>
        <v>0.2421942342687482</v>
      </c>
      <c r="H14" s="10">
        <f t="shared" si="0"/>
        <v>0.24127061698228466</v>
      </c>
      <c r="I14" s="10">
        <f t="shared" si="0"/>
        <v>0.23517585562572435</v>
      </c>
      <c r="J14" s="10">
        <f t="shared" si="0"/>
        <v>0.23679478534502135</v>
      </c>
      <c r="K14" s="10">
        <f t="shared" si="0"/>
        <v>0.2338222036544339</v>
      </c>
    </row>
    <row r="22" s="23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H4" sqref="H4:K18"/>
    </sheetView>
  </sheetViews>
  <sheetFormatPr defaultColWidth="8.77734375" defaultRowHeight="14.4" x14ac:dyDescent="0.3"/>
  <cols>
    <col min="1" max="1" width="22.77734375" bestFit="1" customWidth="1"/>
    <col min="2" max="2" width="13.44140625" customWidth="1"/>
    <col min="3" max="11" width="15.44140625" customWidth="1"/>
  </cols>
  <sheetData>
    <row r="1" spans="1:11" s="2" customFormat="1" x14ac:dyDescent="0.3">
      <c r="A1" s="2" t="str">
        <f>'Profit &amp; Loss'!A1</f>
        <v>INFOSYS LTD</v>
      </c>
      <c r="E1" t="str">
        <f>UPDATE</f>
        <v/>
      </c>
      <c r="G1"/>
      <c r="J1" s="2" t="s">
        <v>1</v>
      </c>
    </row>
    <row r="2" spans="1:11" x14ac:dyDescent="0.3">
      <c r="G2" s="2"/>
      <c r="H2" s="2"/>
    </row>
    <row r="3" spans="1:11" x14ac:dyDescent="0.3">
      <c r="A3" s="11" t="s">
        <v>2</v>
      </c>
      <c r="B3" s="12">
        <f>'Data Sheet'!B56</f>
        <v>42460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 x14ac:dyDescent="0.3">
      <c r="A4" t="s">
        <v>24</v>
      </c>
      <c r="B4" s="14">
        <f>'Data Sheet'!B57</f>
        <v>1144</v>
      </c>
      <c r="C4" s="14">
        <f>'Data Sheet'!C57</f>
        <v>1144</v>
      </c>
      <c r="D4" s="14">
        <f>'Data Sheet'!D57</f>
        <v>1088</v>
      </c>
      <c r="E4" s="14">
        <f>'Data Sheet'!E57</f>
        <v>2170</v>
      </c>
      <c r="F4" s="14">
        <f>'Data Sheet'!F57</f>
        <v>2122</v>
      </c>
      <c r="G4" s="14">
        <f>'Data Sheet'!G57</f>
        <v>2124</v>
      </c>
      <c r="H4" s="14">
        <f>'Data Sheet'!H57</f>
        <v>2098</v>
      </c>
      <c r="I4" s="14">
        <f>'Data Sheet'!I57</f>
        <v>2069</v>
      </c>
      <c r="J4" s="14">
        <f>'Data Sheet'!J57</f>
        <v>2071</v>
      </c>
      <c r="K4" s="14">
        <f>'Data Sheet'!K57</f>
        <v>2073</v>
      </c>
    </row>
    <row r="5" spans="1:11" x14ac:dyDescent="0.3">
      <c r="A5" t="s">
        <v>25</v>
      </c>
      <c r="B5" s="14">
        <f>'Data Sheet'!B58</f>
        <v>60600</v>
      </c>
      <c r="C5" s="14">
        <f>'Data Sheet'!C58</f>
        <v>67838</v>
      </c>
      <c r="D5" s="14">
        <f>'Data Sheet'!D58</f>
        <v>63835</v>
      </c>
      <c r="E5" s="14">
        <f>'Data Sheet'!E58</f>
        <v>62778</v>
      </c>
      <c r="F5" s="14">
        <f>'Data Sheet'!F58</f>
        <v>63328</v>
      </c>
      <c r="G5" s="14">
        <f>'Data Sheet'!G58</f>
        <v>74227</v>
      </c>
      <c r="H5" s="14">
        <f>'Data Sheet'!H58</f>
        <v>73252</v>
      </c>
      <c r="I5" s="14">
        <f>'Data Sheet'!I58</f>
        <v>73338</v>
      </c>
      <c r="J5" s="14">
        <f>'Data Sheet'!J58</f>
        <v>86045</v>
      </c>
      <c r="K5" s="14">
        <f>'Data Sheet'!K58</f>
        <v>93745</v>
      </c>
    </row>
    <row r="6" spans="1:11" x14ac:dyDescent="0.3">
      <c r="A6" t="s">
        <v>71</v>
      </c>
      <c r="B6" s="14">
        <f>'Data Sheet'!B59</f>
        <v>0</v>
      </c>
      <c r="C6" s="14">
        <f>'Data Sheet'!C59</f>
        <v>0</v>
      </c>
      <c r="D6" s="14">
        <f>'Data Sheet'!D59</f>
        <v>0</v>
      </c>
      <c r="E6" s="14">
        <f>'Data Sheet'!E59</f>
        <v>0</v>
      </c>
      <c r="F6" s="14">
        <f>'Data Sheet'!F59</f>
        <v>4633</v>
      </c>
      <c r="G6" s="14">
        <f>'Data Sheet'!G59</f>
        <v>5325</v>
      </c>
      <c r="H6" s="14">
        <f>'Data Sheet'!H59</f>
        <v>5474</v>
      </c>
      <c r="I6" s="14">
        <f>'Data Sheet'!I59</f>
        <v>8299</v>
      </c>
      <c r="J6" s="14">
        <f>'Data Sheet'!J59</f>
        <v>8359</v>
      </c>
      <c r="K6" s="14">
        <f>'Data Sheet'!K59</f>
        <v>8227</v>
      </c>
    </row>
    <row r="7" spans="1:11" x14ac:dyDescent="0.3">
      <c r="A7" t="s">
        <v>72</v>
      </c>
      <c r="B7" s="14">
        <f>'Data Sheet'!B60</f>
        <v>13354</v>
      </c>
      <c r="C7" s="14">
        <f>'Data Sheet'!C60</f>
        <v>14166</v>
      </c>
      <c r="D7" s="14">
        <f>'Data Sheet'!D60</f>
        <v>14426</v>
      </c>
      <c r="E7" s="14">
        <f>'Data Sheet'!E60</f>
        <v>19118</v>
      </c>
      <c r="F7" s="14">
        <f>'Data Sheet'!F60</f>
        <v>21717</v>
      </c>
      <c r="G7" s="14">
        <f>'Data Sheet'!G60</f>
        <v>25835</v>
      </c>
      <c r="H7" s="14">
        <f>'Data Sheet'!H60</f>
        <v>35905</v>
      </c>
      <c r="I7" s="14">
        <f>'Data Sheet'!I60</f>
        <v>40890</v>
      </c>
      <c r="J7" s="14">
        <f>'Data Sheet'!J60</f>
        <v>40885</v>
      </c>
      <c r="K7" s="14">
        <f>'Data Sheet'!K60</f>
        <v>43750</v>
      </c>
    </row>
    <row r="8" spans="1:11" s="2" customFormat="1" x14ac:dyDescent="0.3">
      <c r="A8" s="2" t="s">
        <v>26</v>
      </c>
      <c r="B8" s="15">
        <f>'Data Sheet'!B61</f>
        <v>75098</v>
      </c>
      <c r="C8" s="15">
        <f>'Data Sheet'!C61</f>
        <v>83148</v>
      </c>
      <c r="D8" s="15">
        <f>'Data Sheet'!D61</f>
        <v>79349</v>
      </c>
      <c r="E8" s="15">
        <f>'Data Sheet'!E61</f>
        <v>84066</v>
      </c>
      <c r="F8" s="15">
        <f>'Data Sheet'!F61</f>
        <v>91800</v>
      </c>
      <c r="G8" s="15">
        <f>'Data Sheet'!G61</f>
        <v>107511</v>
      </c>
      <c r="H8" s="15">
        <f>'Data Sheet'!H61</f>
        <v>116729</v>
      </c>
      <c r="I8" s="15">
        <f>'Data Sheet'!I61</f>
        <v>124596</v>
      </c>
      <c r="J8" s="15">
        <f>'Data Sheet'!J61</f>
        <v>137360</v>
      </c>
      <c r="K8" s="15">
        <f>'Data Sheet'!K61</f>
        <v>147795</v>
      </c>
    </row>
    <row r="9" spans="1:11" s="2" customFormat="1" x14ac:dyDescent="0.3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">
      <c r="A10" t="s">
        <v>27</v>
      </c>
      <c r="B10" s="14">
        <f>'Data Sheet'!B62</f>
        <v>13386</v>
      </c>
      <c r="C10" s="14">
        <f>'Data Sheet'!C62</f>
        <v>14179</v>
      </c>
      <c r="D10" s="14">
        <f>'Data Sheet'!D62</f>
        <v>12574</v>
      </c>
      <c r="E10" s="14">
        <f>'Data Sheet'!E62</f>
        <v>15710</v>
      </c>
      <c r="F10" s="14">
        <f>'Data Sheet'!F62</f>
        <v>23789</v>
      </c>
      <c r="G10" s="14">
        <f>'Data Sheet'!G62</f>
        <v>25505</v>
      </c>
      <c r="H10" s="14">
        <f>'Data Sheet'!H62</f>
        <v>25800</v>
      </c>
      <c r="I10" s="14">
        <f>'Data Sheet'!I62</f>
        <v>29225</v>
      </c>
      <c r="J10" s="14">
        <f>'Data Sheet'!J62</f>
        <v>27622</v>
      </c>
      <c r="K10" s="14">
        <f>'Data Sheet'!K62</f>
        <v>30961</v>
      </c>
    </row>
    <row r="11" spans="1:11" x14ac:dyDescent="0.3">
      <c r="A11" t="s">
        <v>28</v>
      </c>
      <c r="B11" s="14">
        <f>'Data Sheet'!B63</f>
        <v>960</v>
      </c>
      <c r="C11" s="14">
        <f>'Data Sheet'!C63</f>
        <v>1365</v>
      </c>
      <c r="D11" s="14">
        <f>'Data Sheet'!D63</f>
        <v>1606</v>
      </c>
      <c r="E11" s="14">
        <f>'Data Sheet'!E63</f>
        <v>1388</v>
      </c>
      <c r="F11" s="14">
        <f>'Data Sheet'!F63</f>
        <v>954</v>
      </c>
      <c r="G11" s="14">
        <f>'Data Sheet'!G63</f>
        <v>922</v>
      </c>
      <c r="H11" s="14">
        <f>'Data Sheet'!H63</f>
        <v>416</v>
      </c>
      <c r="I11" s="14">
        <f>'Data Sheet'!I63</f>
        <v>288</v>
      </c>
      <c r="J11" s="14">
        <f>'Data Sheet'!J63</f>
        <v>293</v>
      </c>
      <c r="K11" s="14">
        <f>'Data Sheet'!K63</f>
        <v>814</v>
      </c>
    </row>
    <row r="12" spans="1:11" x14ac:dyDescent="0.3">
      <c r="A12" t="s">
        <v>29</v>
      </c>
      <c r="B12" s="14">
        <f>'Data Sheet'!B64</f>
        <v>1892</v>
      </c>
      <c r="C12" s="14">
        <f>'Data Sheet'!C64</f>
        <v>16423</v>
      </c>
      <c r="D12" s="14">
        <f>'Data Sheet'!D64</f>
        <v>12163</v>
      </c>
      <c r="E12" s="14">
        <f>'Data Sheet'!E64</f>
        <v>11261</v>
      </c>
      <c r="F12" s="14">
        <f>'Data Sheet'!F64</f>
        <v>8792</v>
      </c>
      <c r="G12" s="14">
        <f>'Data Sheet'!G64</f>
        <v>14205</v>
      </c>
      <c r="H12" s="14">
        <f>'Data Sheet'!H64</f>
        <v>20324</v>
      </c>
      <c r="I12" s="14">
        <f>'Data Sheet'!I64</f>
        <v>19478</v>
      </c>
      <c r="J12" s="14">
        <f>'Data Sheet'!J64</f>
        <v>24623</v>
      </c>
      <c r="K12" s="14">
        <f>'Data Sheet'!K64</f>
        <v>23541</v>
      </c>
    </row>
    <row r="13" spans="1:11" x14ac:dyDescent="0.3">
      <c r="A13" t="s">
        <v>73</v>
      </c>
      <c r="B13" s="14">
        <f>'Data Sheet'!B65</f>
        <v>58860</v>
      </c>
      <c r="C13" s="14">
        <f>'Data Sheet'!C65</f>
        <v>51181</v>
      </c>
      <c r="D13" s="14">
        <f>'Data Sheet'!D65</f>
        <v>53006</v>
      </c>
      <c r="E13" s="14">
        <f>'Data Sheet'!E65</f>
        <v>55707</v>
      </c>
      <c r="F13" s="14">
        <f>'Data Sheet'!F65</f>
        <v>58265</v>
      </c>
      <c r="G13" s="14">
        <f>'Data Sheet'!G65</f>
        <v>66879</v>
      </c>
      <c r="H13" s="14">
        <f>'Data Sheet'!H65</f>
        <v>70189</v>
      </c>
      <c r="I13" s="14">
        <f>'Data Sheet'!I65</f>
        <v>75605</v>
      </c>
      <c r="J13" s="14">
        <f>'Data Sheet'!J65</f>
        <v>84822</v>
      </c>
      <c r="K13" s="14">
        <f>'Data Sheet'!K65</f>
        <v>92479</v>
      </c>
    </row>
    <row r="14" spans="1:11" s="2" customFormat="1" x14ac:dyDescent="0.3">
      <c r="A14" s="2" t="s">
        <v>26</v>
      </c>
      <c r="B14" s="14">
        <f>'Data Sheet'!B66</f>
        <v>75098</v>
      </c>
      <c r="C14" s="14">
        <f>'Data Sheet'!C66</f>
        <v>83148</v>
      </c>
      <c r="D14" s="14">
        <f>'Data Sheet'!D66</f>
        <v>79349</v>
      </c>
      <c r="E14" s="14">
        <f>'Data Sheet'!E66</f>
        <v>84066</v>
      </c>
      <c r="F14" s="14">
        <f>'Data Sheet'!F66</f>
        <v>91800</v>
      </c>
      <c r="G14" s="14">
        <f>'Data Sheet'!G66</f>
        <v>107511</v>
      </c>
      <c r="H14" s="14">
        <f>'Data Sheet'!H66</f>
        <v>116729</v>
      </c>
      <c r="I14" s="14">
        <f>'Data Sheet'!I66</f>
        <v>124596</v>
      </c>
      <c r="J14" s="14">
        <f>'Data Sheet'!J66</f>
        <v>137360</v>
      </c>
      <c r="K14" s="14">
        <f>'Data Sheet'!K66</f>
        <v>147795</v>
      </c>
    </row>
    <row r="15" spans="1:1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t="s">
        <v>30</v>
      </c>
      <c r="B16" s="4">
        <f>B13-B7</f>
        <v>45506</v>
      </c>
      <c r="C16" s="4">
        <f t="shared" ref="C16:K16" si="0">C13-C7</f>
        <v>37015</v>
      </c>
      <c r="D16" s="4">
        <f t="shared" si="0"/>
        <v>38580</v>
      </c>
      <c r="E16" s="4">
        <f t="shared" si="0"/>
        <v>36589</v>
      </c>
      <c r="F16" s="4">
        <f t="shared" si="0"/>
        <v>36548</v>
      </c>
      <c r="G16" s="4">
        <f t="shared" si="0"/>
        <v>41044</v>
      </c>
      <c r="H16" s="4">
        <f t="shared" si="0"/>
        <v>34284</v>
      </c>
      <c r="I16" s="4">
        <f t="shared" si="0"/>
        <v>34715</v>
      </c>
      <c r="J16" s="4">
        <f t="shared" si="0"/>
        <v>43937</v>
      </c>
      <c r="K16" s="4">
        <f t="shared" si="0"/>
        <v>48729</v>
      </c>
    </row>
    <row r="17" spans="1:11" x14ac:dyDescent="0.3">
      <c r="A17" t="s">
        <v>44</v>
      </c>
      <c r="B17" s="4">
        <f>'Data Sheet'!B67</f>
        <v>11330</v>
      </c>
      <c r="C17" s="4">
        <f>'Data Sheet'!C67</f>
        <v>12322</v>
      </c>
      <c r="D17" s="4">
        <f>'Data Sheet'!D67</f>
        <v>13142</v>
      </c>
      <c r="E17" s="4">
        <f>'Data Sheet'!E67</f>
        <v>14827</v>
      </c>
      <c r="F17" s="4">
        <f>'Data Sheet'!F67</f>
        <v>18487</v>
      </c>
      <c r="G17" s="4">
        <f>'Data Sheet'!G67</f>
        <v>19294</v>
      </c>
      <c r="H17" s="4">
        <f>'Data Sheet'!H67</f>
        <v>22698</v>
      </c>
      <c r="I17" s="4">
        <f>'Data Sheet'!I67</f>
        <v>25424</v>
      </c>
      <c r="J17" s="4">
        <f>'Data Sheet'!J67</f>
        <v>30193</v>
      </c>
      <c r="K17" s="4">
        <f>'Data Sheet'!K67</f>
        <v>31158</v>
      </c>
    </row>
    <row r="18" spans="1:11" x14ac:dyDescent="0.3">
      <c r="A18" t="s">
        <v>45</v>
      </c>
      <c r="B18" s="4">
        <f>'Data Sheet'!B68</f>
        <v>0</v>
      </c>
      <c r="C18" s="4">
        <f>'Data Sheet'!C68</f>
        <v>0</v>
      </c>
      <c r="D18" s="4">
        <f>'Data Sheet'!D68</f>
        <v>0</v>
      </c>
      <c r="E18" s="4">
        <f>'Data Sheet'!E68</f>
        <v>0</v>
      </c>
      <c r="F18" s="4">
        <f>'Data Sheet'!F68</f>
        <v>0</v>
      </c>
      <c r="G18" s="4">
        <f>'Data Sheet'!G68</f>
        <v>0</v>
      </c>
      <c r="H18" s="4">
        <f>'Data Sheet'!H68</f>
        <v>0</v>
      </c>
      <c r="I18" s="4">
        <f>'Data Sheet'!I68</f>
        <v>0</v>
      </c>
      <c r="J18" s="4">
        <f>'Data Sheet'!J68</f>
        <v>0</v>
      </c>
      <c r="K18" s="4">
        <f>'Data Sheet'!K68</f>
        <v>0</v>
      </c>
    </row>
    <row r="20" spans="1:11" x14ac:dyDescent="0.3">
      <c r="A20" t="s">
        <v>46</v>
      </c>
      <c r="B20" s="4">
        <f>IF('Profit &amp; Loss'!B4&gt;0,'Balance Sheet'!B17/('Profit &amp; Loss'!B4/365),0)</f>
        <v>66.229720856488527</v>
      </c>
      <c r="C20" s="4">
        <f>IF('Profit &amp; Loss'!C4&gt;0,'Balance Sheet'!C17/('Profit &amp; Loss'!C4/365),0)</f>
        <v>65.672711874306415</v>
      </c>
      <c r="D20" s="4">
        <f>IF('Profit &amp; Loss'!D4&gt;0,'Balance Sheet'!D17/('Profit &amp; Loss'!D4/365),0)</f>
        <v>68.018916082924477</v>
      </c>
      <c r="E20" s="4">
        <f>IF('Profit &amp; Loss'!E4&gt;0,'Balance Sheet'!E17/('Profit &amp; Loss'!E4/365),0)</f>
        <v>65.459389174478375</v>
      </c>
      <c r="F20" s="4">
        <f>IF('Profit &amp; Loss'!F4&gt;0,'Balance Sheet'!F17/('Profit &amp; Loss'!F4/365),0)</f>
        <v>74.321849081957467</v>
      </c>
      <c r="G20" s="4">
        <f>IF('Profit &amp; Loss'!G4&gt;0,'Balance Sheet'!G17/('Profit &amp; Loss'!G4/365),0)</f>
        <v>70.092264511505689</v>
      </c>
      <c r="H20" s="4">
        <f>IF('Profit &amp; Loss'!H4&gt;0,'Balance Sheet'!H17/('Profit &amp; Loss'!H4/365),0)</f>
        <v>68.108368066688044</v>
      </c>
      <c r="I20" s="4">
        <f>IF('Profit &amp; Loss'!I4&gt;0,'Balance Sheet'!I17/('Profit &amp; Loss'!I4/365),0)</f>
        <v>63.227837320378562</v>
      </c>
      <c r="J20" s="4">
        <f>IF('Profit &amp; Loss'!J4&gt;0,'Balance Sheet'!J17/('Profit &amp; Loss'!J4/365),0)</f>
        <v>71.715006182078469</v>
      </c>
      <c r="K20" s="4">
        <f>IF('Profit &amp; Loss'!K4&gt;0,'Balance Sheet'!K17/('Profit &amp; Loss'!K4/365),0)</f>
        <v>69.775262286029815</v>
      </c>
    </row>
    <row r="21" spans="1:11" x14ac:dyDescent="0.3">
      <c r="A21" t="s">
        <v>47</v>
      </c>
      <c r="B21" s="4">
        <f>IF('Balance Sheet'!B18&gt;0,'Profit &amp; Loss'!B4/'Balance Sheet'!B18,0)</f>
        <v>0</v>
      </c>
      <c r="C21" s="4">
        <f>IF('Balance Sheet'!C18&gt;0,'Profit &amp; Loss'!C4/'Balance Sheet'!C18,0)</f>
        <v>0</v>
      </c>
      <c r="D21" s="4">
        <f>IF('Balance Sheet'!D18&gt;0,'Profit &amp; Loss'!D4/'Balance Sheet'!D18,0)</f>
        <v>0</v>
      </c>
      <c r="E21" s="4">
        <f>IF('Balance Sheet'!E18&gt;0,'Profit &amp; Loss'!E4/'Balance Sheet'!E18,0)</f>
        <v>0</v>
      </c>
      <c r="F21" s="4">
        <f>IF('Balance Sheet'!F18&gt;0,'Profit &amp; Loss'!F4/'Balance Sheet'!F18,0)</f>
        <v>0</v>
      </c>
      <c r="G21" s="4">
        <f>IF('Balance Sheet'!G18&gt;0,'Profit &amp; Loss'!G4/'Balance Sheet'!G18,0)</f>
        <v>0</v>
      </c>
      <c r="H21" s="4">
        <f>IF('Balance Sheet'!H18&gt;0,'Profit &amp; Loss'!H4/'Balance Sheet'!H18,0)</f>
        <v>0</v>
      </c>
      <c r="I21" s="4">
        <f>IF('Balance Sheet'!I18&gt;0,'Profit &amp; Loss'!I4/'Balance Sheet'!I18,0)</f>
        <v>0</v>
      </c>
      <c r="J21" s="4">
        <f>IF('Balance Sheet'!J18&gt;0,'Profit &amp; Loss'!J4/'Balance Sheet'!J18,0)</f>
        <v>0</v>
      </c>
      <c r="K21" s="4">
        <f>IF('Balance Sheet'!K18&gt;0,'Profit &amp; Loss'!K4/'Balance Sheet'!K18,0)</f>
        <v>0</v>
      </c>
    </row>
    <row r="23" spans="1:11" s="2" customFormat="1" x14ac:dyDescent="0.3">
      <c r="A23" s="2" t="s">
        <v>59</v>
      </c>
      <c r="B23" s="10">
        <f>IF(SUM('Balance Sheet'!B4:B5)&gt;0,'Profit &amp; Loss'!B12/SUM('Balance Sheet'!B4:B5),"")</f>
        <v>0.2184665716506867</v>
      </c>
      <c r="C23" s="10">
        <f>IF(SUM('Balance Sheet'!C4:C5)&gt;0,'Profit &amp; Loss'!C12/SUM('Balance Sheet'!C4:C5),"")</f>
        <v>0.20806877156359629</v>
      </c>
      <c r="D23" s="10">
        <f>IF(SUM('Balance Sheet'!D4:D5)&gt;0,'Profit &amp; Loss'!D12/SUM('Balance Sheet'!D4:D5),"")</f>
        <v>0.24689247262141306</v>
      </c>
      <c r="E23" s="10">
        <f>IF(SUM('Balance Sheet'!E4:E5)&gt;0,'Profit &amp; Loss'!E12/SUM('Balance Sheet'!E4:E5),"")</f>
        <v>0.23717435486851018</v>
      </c>
      <c r="F23" s="10">
        <f>IF(SUM('Balance Sheet'!F4:F5)&gt;0,'Profit &amp; Loss'!F12/SUM('Balance Sheet'!F4:F5),"")</f>
        <v>0.25353705118411002</v>
      </c>
      <c r="G23" s="10">
        <f>IF(SUM('Balance Sheet'!G4:G5)&gt;0,'Profit &amp; Loss'!G12/SUM('Balance Sheet'!G4:G5),"")</f>
        <v>0.2534478919726002</v>
      </c>
      <c r="H23" s="10">
        <f>IF(SUM('Balance Sheet'!H4:H5)&gt;0,'Profit &amp; Loss'!H12/SUM('Balance Sheet'!H4:H5),"")</f>
        <v>0.29343065693430659</v>
      </c>
      <c r="I23" s="10">
        <f>IF(SUM('Balance Sheet'!I4:I5)&gt;0,'Profit &amp; Loss'!I12/SUM('Balance Sheet'!I4:I5),"")</f>
        <v>0.31953266938082669</v>
      </c>
      <c r="J23" s="10">
        <f>IF(SUM('Balance Sheet'!J4:J5)&gt;0,'Profit &amp; Loss'!J12/SUM('Balance Sheet'!J4:J5),"")</f>
        <v>0.29770983703300197</v>
      </c>
      <c r="K23" s="10">
        <f>IF(SUM('Balance Sheet'!K4:K5)&gt;0,'Profit &amp; Loss'!K12/SUM('Balance Sheet'!K4:K5),"")</f>
        <v>0.27878895405873633</v>
      </c>
    </row>
    <row r="24" spans="1:11" s="2" customFormat="1" x14ac:dyDescent="0.3">
      <c r="A24" s="2" t="s">
        <v>60</v>
      </c>
      <c r="B24" s="10"/>
      <c r="C24" s="10">
        <f>IF((B4+B5+B6+C4+C5+C6)&gt;0,('Profit &amp; Loss'!C10+'Profit &amp; Loss'!C9)*2/(B4+B5+B6+C4+C5+C6),"")</f>
        <v>0.30523384789559843</v>
      </c>
      <c r="D24" s="10">
        <f>IF((C4+C5+C6+D4+D5+D6)&gt;0,('Profit &amp; Loss'!D10+'Profit &amp; Loss'!D9)*2/(C4+C5+C6+D4+D5+D6),"")</f>
        <v>0.30275195101004443</v>
      </c>
      <c r="E24" s="10">
        <f>IF((D4+D5+D6+E4+E5+E6)&gt;0,('Profit &amp; Loss'!E10+'Profit &amp; Loss'!E9)*2/(D4+D5+D6+E4+E5+E6),"")</f>
        <v>0.3240292290041657</v>
      </c>
      <c r="F24" s="10">
        <f>IF((E4+E5+E6+F4+F5+F6)&gt;0,('Profit &amp; Loss'!F10+'Profit &amp; Loss'!F9)*2/(E4+E5+E6+F4+F5+F6),"")</f>
        <v>0.32847272107886338</v>
      </c>
      <c r="G24" s="10">
        <f>IF((F4+F5+F6+G4+G5+G6)&gt;0,('Profit &amp; Loss'!G10+'Profit &amp; Loss'!G9)*2/(F4+F5+F6+G4+G5+G6),"")</f>
        <v>0.3534946856529102</v>
      </c>
      <c r="H24" s="10">
        <f>IF((G4+G5+G6+H4+H5+H6)&gt;0,('Profit &amp; Loss'!H10+'Profit &amp; Loss'!H9)*2/(G4+G5+G6+H4+H5+H6),"")</f>
        <v>0.37304615384615386</v>
      </c>
      <c r="I24" s="10">
        <f>IF((H4+H5+H6+I4+I5+I6)&gt;0,('Profit &amp; Loss'!I10+'Profit &amp; Loss'!I9)*2/(H4+H5+H6+I4+I5+I6),"")</f>
        <v>0.40850908648878625</v>
      </c>
      <c r="J24" s="10">
        <f>IF((I4+I5+I6+J4+J5+J6)&gt;0,('Profit &amp; Loss'!J10+'Profit &amp; Loss'!J9)*2/(I4+I5+I6+J4+J5+J6),"")</f>
        <v>0.40468195869708795</v>
      </c>
      <c r="K24" s="10">
        <f>IF((J4+J5+J6+K4+K5+K6)&gt;0,('Profit &amp; Loss'!K10+'Profit &amp; Loss'!K9)*2/(J4+J5+J6+K4+K5+K6),"")</f>
        <v>0.37925393975663274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bestFit="1" customWidth="1"/>
    <col min="2" max="6" width="13.44140625" customWidth="1"/>
    <col min="7" max="11" width="13.44140625" bestFit="1" customWidth="1"/>
  </cols>
  <sheetData>
    <row r="1" spans="1:11" s="2" customFormat="1" x14ac:dyDescent="0.3">
      <c r="A1" s="2" t="str">
        <f>'Balance Sheet'!A1</f>
        <v>INFOSYS LTD</v>
      </c>
      <c r="E1" t="str">
        <f>UPDATE</f>
        <v/>
      </c>
      <c r="F1"/>
      <c r="J1" s="2" t="s">
        <v>1</v>
      </c>
    </row>
    <row r="3" spans="1:11" s="2" customFormat="1" x14ac:dyDescent="0.3">
      <c r="A3" s="11" t="s">
        <v>2</v>
      </c>
      <c r="B3" s="12">
        <f>'Data Sheet'!B81</f>
        <v>42460</v>
      </c>
      <c r="C3" s="12">
        <f>'Data Sheet'!C81</f>
        <v>42825</v>
      </c>
      <c r="D3" s="12">
        <f>'Data Sheet'!D81</f>
        <v>43190</v>
      </c>
      <c r="E3" s="12">
        <f>'Data Sheet'!E81</f>
        <v>43555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 x14ac:dyDescent="0.3">
      <c r="A4" s="2" t="s">
        <v>32</v>
      </c>
      <c r="B4" s="1">
        <f>'Data Sheet'!B82</f>
        <v>10028</v>
      </c>
      <c r="C4" s="1">
        <f>'Data Sheet'!C82</f>
        <v>11531</v>
      </c>
      <c r="D4" s="1">
        <f>'Data Sheet'!D82</f>
        <v>13218</v>
      </c>
      <c r="E4" s="1">
        <f>'Data Sheet'!E82</f>
        <v>14841</v>
      </c>
      <c r="F4" s="1">
        <f>'Data Sheet'!F82</f>
        <v>17003</v>
      </c>
      <c r="G4" s="1">
        <f>'Data Sheet'!G82</f>
        <v>23224</v>
      </c>
      <c r="H4" s="1">
        <f>'Data Sheet'!H82</f>
        <v>23885</v>
      </c>
      <c r="I4" s="1">
        <f>'Data Sheet'!I82</f>
        <v>22467</v>
      </c>
      <c r="J4" s="1">
        <f>'Data Sheet'!J82</f>
        <v>25210</v>
      </c>
      <c r="K4" s="1">
        <f>'Data Sheet'!K82</f>
        <v>35694</v>
      </c>
    </row>
    <row r="5" spans="1:11" x14ac:dyDescent="0.3">
      <c r="A5" t="s">
        <v>33</v>
      </c>
      <c r="B5" s="6">
        <f>'Data Sheet'!B83</f>
        <v>-885</v>
      </c>
      <c r="C5" s="6">
        <f>'Data Sheet'!C83</f>
        <v>-14664</v>
      </c>
      <c r="D5" s="6">
        <f>'Data Sheet'!D83</f>
        <v>4533</v>
      </c>
      <c r="E5" s="6">
        <f>'Data Sheet'!E83</f>
        <v>-632</v>
      </c>
      <c r="F5" s="6">
        <f>'Data Sheet'!F83</f>
        <v>-331</v>
      </c>
      <c r="G5" s="6">
        <f>'Data Sheet'!G83</f>
        <v>-7373</v>
      </c>
      <c r="H5" s="6">
        <f>'Data Sheet'!H83</f>
        <v>-6485</v>
      </c>
      <c r="I5" s="6">
        <f>'Data Sheet'!I83</f>
        <v>-1071</v>
      </c>
      <c r="J5" s="6">
        <f>'Data Sheet'!J83</f>
        <v>-5093</v>
      </c>
      <c r="K5" s="6">
        <f>'Data Sheet'!K83</f>
        <v>-1864</v>
      </c>
    </row>
    <row r="6" spans="1:11" x14ac:dyDescent="0.3">
      <c r="A6" t="s">
        <v>34</v>
      </c>
      <c r="B6" s="6">
        <f>'Data Sheet'!B84</f>
        <v>-6813</v>
      </c>
      <c r="C6" s="6">
        <f>'Data Sheet'!C84</f>
        <v>-6939</v>
      </c>
      <c r="D6" s="6">
        <f>'Data Sheet'!D84</f>
        <v>-20505</v>
      </c>
      <c r="E6" s="6">
        <f>'Data Sheet'!E84</f>
        <v>-14512</v>
      </c>
      <c r="F6" s="6">
        <f>'Data Sheet'!F84</f>
        <v>-17591</v>
      </c>
      <c r="G6" s="6">
        <f>'Data Sheet'!G84</f>
        <v>-9786</v>
      </c>
      <c r="H6" s="6">
        <f>'Data Sheet'!H84</f>
        <v>-24642</v>
      </c>
      <c r="I6" s="6">
        <f>'Data Sheet'!I84</f>
        <v>-26695</v>
      </c>
      <c r="J6" s="6">
        <f>'Data Sheet'!J84</f>
        <v>-17504</v>
      </c>
      <c r="K6" s="6">
        <f>'Data Sheet'!K84</f>
        <v>-24161</v>
      </c>
    </row>
    <row r="7" spans="1:11" s="2" customFormat="1" x14ac:dyDescent="0.3">
      <c r="A7" s="2" t="s">
        <v>35</v>
      </c>
      <c r="B7" s="1">
        <f>'Data Sheet'!B85</f>
        <v>2330</v>
      </c>
      <c r="C7" s="1">
        <f>'Data Sheet'!C85</f>
        <v>-10072</v>
      </c>
      <c r="D7" s="1">
        <f>'Data Sheet'!D85</f>
        <v>-2754</v>
      </c>
      <c r="E7" s="1">
        <f>'Data Sheet'!E85</f>
        <v>-303</v>
      </c>
      <c r="F7" s="1">
        <f>'Data Sheet'!F85</f>
        <v>-919</v>
      </c>
      <c r="G7" s="1">
        <f>'Data Sheet'!G85</f>
        <v>6065</v>
      </c>
      <c r="H7" s="1">
        <f>'Data Sheet'!H85</f>
        <v>-7242</v>
      </c>
      <c r="I7" s="1">
        <f>'Data Sheet'!I85</f>
        <v>-5299</v>
      </c>
      <c r="J7" s="1">
        <f>'Data Sheet'!J85</f>
        <v>2613</v>
      </c>
      <c r="K7" s="1">
        <f>'Data Sheet'!K85</f>
        <v>9669</v>
      </c>
    </row>
    <row r="8" spans="1:11" x14ac:dyDescent="0.3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2"/>
    <col min="2" max="2" width="10.44140625" customWidth="1"/>
    <col min="3" max="3" width="13.33203125" style="20" customWidth="1"/>
    <col min="6" max="6" width="6.77734375" customWidth="1"/>
  </cols>
  <sheetData>
    <row r="1" spans="1:7" ht="21" x14ac:dyDescent="0.4">
      <c r="A1" s="19" t="s">
        <v>56</v>
      </c>
    </row>
    <row r="3" spans="1:7" x14ac:dyDescent="0.3">
      <c r="A3" s="2" t="s">
        <v>48</v>
      </c>
    </row>
    <row r="4" spans="1:7" x14ac:dyDescent="0.3">
      <c r="B4" t="s">
        <v>90</v>
      </c>
    </row>
    <row r="5" spans="1:7" x14ac:dyDescent="0.3">
      <c r="B5" t="s">
        <v>49</v>
      </c>
    </row>
    <row r="7" spans="1:7" x14ac:dyDescent="0.3">
      <c r="A7" s="2" t="s">
        <v>50</v>
      </c>
    </row>
    <row r="8" spans="1:7" x14ac:dyDescent="0.3">
      <c r="B8" t="s">
        <v>51</v>
      </c>
      <c r="C8" s="21" t="s">
        <v>91</v>
      </c>
    </row>
    <row r="10" spans="1:7" x14ac:dyDescent="0.3">
      <c r="A10" s="2" t="s">
        <v>52</v>
      </c>
    </row>
    <row r="11" spans="1:7" x14ac:dyDescent="0.3">
      <c r="B11" t="s">
        <v>53</v>
      </c>
    </row>
    <row r="14" spans="1:7" x14ac:dyDescent="0.3">
      <c r="A14" s="2" t="s">
        <v>54</v>
      </c>
    </row>
    <row r="15" spans="1:7" x14ac:dyDescent="0.3">
      <c r="B15" t="s">
        <v>55</v>
      </c>
    </row>
    <row r="16" spans="1:7" x14ac:dyDescent="0.3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11" activePane="bottomRight" state="frozen"/>
      <selection activeCell="C4" sqref="C4"/>
      <selection pane="topRight" activeCell="C4" sqref="C4"/>
      <selection pane="bottomLeft" activeCell="C4" sqref="C4"/>
      <selection pane="bottomRight" activeCell="H30" sqref="H30:K31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63</v>
      </c>
      <c r="E1" s="121" t="str">
        <f>IF(B2&lt;&gt;B3, "A NEW VERSION OF THE WORKSHEET IS AVAILABLE", "")</f>
        <v/>
      </c>
      <c r="F1" s="121"/>
      <c r="G1" s="121"/>
      <c r="H1" s="121"/>
      <c r="I1" s="121"/>
      <c r="J1" s="121"/>
      <c r="K1" s="121"/>
    </row>
    <row r="2" spans="1:11" x14ac:dyDescent="0.3">
      <c r="A2" s="1" t="s">
        <v>61</v>
      </c>
      <c r="B2" s="4">
        <v>2.1</v>
      </c>
      <c r="E2" s="122" t="s">
        <v>36</v>
      </c>
      <c r="F2" s="122"/>
      <c r="G2" s="122"/>
      <c r="H2" s="122"/>
      <c r="I2" s="122"/>
      <c r="J2" s="122"/>
      <c r="K2" s="122"/>
    </row>
    <row r="3" spans="1:11" x14ac:dyDescent="0.3">
      <c r="A3" s="1" t="s">
        <v>62</v>
      </c>
      <c r="B3" s="4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4" t="s">
        <v>42</v>
      </c>
      <c r="B6" s="4">
        <f>IF(B9&gt;0, B9/B8, 0)</f>
        <v>405.53911237597111</v>
      </c>
    </row>
    <row r="7" spans="1:11" x14ac:dyDescent="0.3">
      <c r="A7" s="4" t="s">
        <v>31</v>
      </c>
      <c r="B7">
        <v>5</v>
      </c>
    </row>
    <row r="8" spans="1:11" x14ac:dyDescent="0.3">
      <c r="A8" s="4" t="s">
        <v>43</v>
      </c>
      <c r="B8">
        <v>1300.0999999999999</v>
      </c>
    </row>
    <row r="9" spans="1:11" x14ac:dyDescent="0.3">
      <c r="A9" s="4" t="s">
        <v>79</v>
      </c>
      <c r="B9">
        <v>527241.4</v>
      </c>
    </row>
    <row r="15" spans="1:11" x14ac:dyDescent="0.3">
      <c r="A15" s="1" t="s">
        <v>37</v>
      </c>
    </row>
    <row r="16" spans="1:11" s="18" customFormat="1" x14ac:dyDescent="0.3">
      <c r="A16" s="17" t="s">
        <v>38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3">
      <c r="A17" s="6" t="s">
        <v>6</v>
      </c>
      <c r="B17">
        <v>62441</v>
      </c>
      <c r="C17">
        <v>68484</v>
      </c>
      <c r="D17">
        <v>70522</v>
      </c>
      <c r="E17">
        <v>82675</v>
      </c>
      <c r="F17">
        <v>90791</v>
      </c>
      <c r="G17">
        <v>100472</v>
      </c>
      <c r="H17">
        <v>121641</v>
      </c>
      <c r="I17">
        <v>146767</v>
      </c>
      <c r="J17">
        <v>153670</v>
      </c>
      <c r="K17">
        <v>162990</v>
      </c>
    </row>
    <row r="18" spans="1:11" s="6" customFormat="1" x14ac:dyDescent="0.3">
      <c r="A18" s="4" t="s">
        <v>80</v>
      </c>
    </row>
    <row r="19" spans="1:11" s="6" customFormat="1" x14ac:dyDescent="0.3">
      <c r="A19" s="4" t="s">
        <v>81</v>
      </c>
    </row>
    <row r="20" spans="1:11" s="6" customFormat="1" x14ac:dyDescent="0.3">
      <c r="A20" s="4" t="s">
        <v>82</v>
      </c>
      <c r="B20">
        <v>217</v>
      </c>
      <c r="C20">
        <v>228</v>
      </c>
      <c r="D20">
        <v>207</v>
      </c>
      <c r="E20">
        <v>221</v>
      </c>
      <c r="F20">
        <v>229</v>
      </c>
      <c r="G20">
        <v>143</v>
      </c>
      <c r="H20">
        <v>132</v>
      </c>
      <c r="I20">
        <v>176</v>
      </c>
      <c r="J20">
        <v>199</v>
      </c>
      <c r="K20">
        <v>222</v>
      </c>
    </row>
    <row r="21" spans="1:11" s="6" customFormat="1" x14ac:dyDescent="0.3">
      <c r="A21" s="4" t="s">
        <v>83</v>
      </c>
      <c r="B21">
        <v>5860</v>
      </c>
      <c r="C21">
        <v>6712</v>
      </c>
      <c r="D21">
        <v>7286</v>
      </c>
      <c r="E21">
        <v>9902</v>
      </c>
      <c r="F21">
        <v>11086</v>
      </c>
      <c r="G21">
        <v>12800</v>
      </c>
      <c r="H21">
        <v>20690</v>
      </c>
      <c r="I21">
        <v>26330</v>
      </c>
      <c r="J21">
        <v>27195</v>
      </c>
      <c r="K21">
        <v>30395</v>
      </c>
    </row>
    <row r="22" spans="1:11" s="6" customFormat="1" x14ac:dyDescent="0.3">
      <c r="A22" s="4" t="s">
        <v>84</v>
      </c>
      <c r="B22">
        <v>34415</v>
      </c>
      <c r="C22">
        <v>37669</v>
      </c>
      <c r="D22">
        <v>38902</v>
      </c>
      <c r="E22">
        <v>45323</v>
      </c>
      <c r="F22">
        <v>50895</v>
      </c>
      <c r="G22">
        <v>55547</v>
      </c>
      <c r="H22">
        <v>63997</v>
      </c>
      <c r="I22">
        <v>78374</v>
      </c>
      <c r="J22">
        <v>82636</v>
      </c>
      <c r="K22">
        <v>85968</v>
      </c>
    </row>
    <row r="23" spans="1:11" s="6" customFormat="1" x14ac:dyDescent="0.3">
      <c r="A23" s="4" t="s">
        <v>85</v>
      </c>
      <c r="B23">
        <v>4441</v>
      </c>
      <c r="C23">
        <v>4584</v>
      </c>
      <c r="D23">
        <v>4585</v>
      </c>
      <c r="E23">
        <v>5553</v>
      </c>
      <c r="F23">
        <v>5375</v>
      </c>
      <c r="G23">
        <v>3194</v>
      </c>
      <c r="H23">
        <v>4305</v>
      </c>
      <c r="I23">
        <v>5300</v>
      </c>
      <c r="J23">
        <v>5705</v>
      </c>
      <c r="K23">
        <v>6039</v>
      </c>
    </row>
    <row r="24" spans="1:11" s="6" customFormat="1" x14ac:dyDescent="0.3">
      <c r="A24" s="4" t="s">
        <v>86</v>
      </c>
      <c r="B24">
        <v>429</v>
      </c>
      <c r="C24">
        <v>687</v>
      </c>
      <c r="D24">
        <v>720</v>
      </c>
      <c r="E24">
        <v>1506</v>
      </c>
      <c r="F24">
        <v>939</v>
      </c>
      <c r="G24">
        <v>899</v>
      </c>
      <c r="H24">
        <v>1026</v>
      </c>
      <c r="I24">
        <v>1457</v>
      </c>
      <c r="J24">
        <v>1510</v>
      </c>
      <c r="K24">
        <v>1130</v>
      </c>
    </row>
    <row r="25" spans="1:11" s="6" customFormat="1" x14ac:dyDescent="0.3">
      <c r="A25" s="6" t="s">
        <v>9</v>
      </c>
      <c r="B25">
        <v>3120</v>
      </c>
      <c r="C25">
        <v>3050</v>
      </c>
      <c r="D25">
        <v>3311</v>
      </c>
      <c r="E25">
        <v>2882</v>
      </c>
      <c r="F25">
        <v>2803</v>
      </c>
      <c r="G25">
        <v>2201</v>
      </c>
      <c r="H25">
        <v>2295</v>
      </c>
      <c r="I25">
        <v>2701</v>
      </c>
      <c r="J25">
        <v>4711</v>
      </c>
      <c r="K25">
        <v>3600</v>
      </c>
    </row>
    <row r="26" spans="1:11" s="6" customFormat="1" x14ac:dyDescent="0.3">
      <c r="A26" s="6" t="s">
        <v>10</v>
      </c>
      <c r="B26">
        <v>1459</v>
      </c>
      <c r="C26">
        <v>1703</v>
      </c>
      <c r="D26">
        <v>1863</v>
      </c>
      <c r="E26">
        <v>2011</v>
      </c>
      <c r="F26">
        <v>2893</v>
      </c>
      <c r="G26">
        <v>3267</v>
      </c>
      <c r="H26">
        <v>3476</v>
      </c>
      <c r="I26">
        <v>4225</v>
      </c>
      <c r="J26">
        <v>4678</v>
      </c>
      <c r="K26">
        <v>4812</v>
      </c>
    </row>
    <row r="27" spans="1:11" s="6" customFormat="1" x14ac:dyDescent="0.3">
      <c r="A27" s="6" t="s">
        <v>11</v>
      </c>
      <c r="F27">
        <v>170</v>
      </c>
      <c r="G27">
        <v>195</v>
      </c>
      <c r="H27">
        <v>200</v>
      </c>
      <c r="I27">
        <v>284</v>
      </c>
      <c r="J27">
        <v>470</v>
      </c>
      <c r="K27">
        <v>416</v>
      </c>
    </row>
    <row r="28" spans="1:11" s="6" customFormat="1" x14ac:dyDescent="0.3">
      <c r="A28" s="6" t="s">
        <v>12</v>
      </c>
      <c r="B28">
        <v>18740</v>
      </c>
      <c r="C28">
        <v>19951</v>
      </c>
      <c r="D28">
        <v>20270</v>
      </c>
      <c r="E28">
        <v>21041</v>
      </c>
      <c r="F28">
        <v>22007</v>
      </c>
      <c r="G28">
        <v>26628</v>
      </c>
      <c r="H28">
        <v>30110</v>
      </c>
      <c r="I28">
        <v>33322</v>
      </c>
      <c r="J28">
        <v>35988</v>
      </c>
      <c r="K28">
        <v>37608</v>
      </c>
    </row>
    <row r="29" spans="1:11" s="6" customFormat="1" x14ac:dyDescent="0.3">
      <c r="A29" s="6" t="s">
        <v>13</v>
      </c>
      <c r="B29">
        <v>5251</v>
      </c>
      <c r="C29">
        <v>5598</v>
      </c>
      <c r="D29">
        <v>4241</v>
      </c>
      <c r="E29">
        <v>5631</v>
      </c>
      <c r="F29">
        <v>5368</v>
      </c>
      <c r="G29">
        <v>7205</v>
      </c>
      <c r="H29">
        <v>7964</v>
      </c>
      <c r="I29">
        <v>9214</v>
      </c>
      <c r="J29">
        <v>9740</v>
      </c>
      <c r="K29">
        <v>10858</v>
      </c>
    </row>
    <row r="30" spans="1:11" s="6" customFormat="1" x14ac:dyDescent="0.3">
      <c r="A30" s="6" t="s">
        <v>14</v>
      </c>
      <c r="B30">
        <v>13489</v>
      </c>
      <c r="C30">
        <v>14353</v>
      </c>
      <c r="D30">
        <v>16029</v>
      </c>
      <c r="E30">
        <v>15404</v>
      </c>
      <c r="F30">
        <v>16594</v>
      </c>
      <c r="G30">
        <v>19351</v>
      </c>
      <c r="H30">
        <v>22110</v>
      </c>
      <c r="I30">
        <v>24095</v>
      </c>
      <c r="J30">
        <v>26233</v>
      </c>
      <c r="K30">
        <v>26713</v>
      </c>
    </row>
    <row r="31" spans="1:11" s="6" customFormat="1" x14ac:dyDescent="0.3">
      <c r="A31" s="6" t="s">
        <v>70</v>
      </c>
      <c r="B31">
        <v>5548.4</v>
      </c>
      <c r="C31">
        <v>5891.6</v>
      </c>
      <c r="D31">
        <v>9465.6</v>
      </c>
      <c r="E31">
        <v>9222.5</v>
      </c>
      <c r="F31">
        <v>7427</v>
      </c>
      <c r="G31">
        <v>11469.6</v>
      </c>
      <c r="H31">
        <v>13007.6</v>
      </c>
      <c r="I31">
        <v>14069.2</v>
      </c>
      <c r="J31">
        <v>19053.2</v>
      </c>
      <c r="K31">
        <v>17827.8</v>
      </c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39</v>
      </c>
    </row>
    <row r="41" spans="1:11" s="18" customFormat="1" x14ac:dyDescent="0.3">
      <c r="A41" s="17" t="s">
        <v>38</v>
      </c>
      <c r="B41" s="12">
        <v>45199</v>
      </c>
      <c r="C41" s="12">
        <v>45291</v>
      </c>
      <c r="D41" s="12">
        <v>45382</v>
      </c>
      <c r="E41" s="12">
        <v>45473</v>
      </c>
      <c r="F41" s="12">
        <v>45565</v>
      </c>
      <c r="G41" s="12">
        <v>45657</v>
      </c>
      <c r="H41" s="12">
        <v>45747</v>
      </c>
      <c r="I41" s="12">
        <v>45838</v>
      </c>
      <c r="J41" s="12">
        <v>45930</v>
      </c>
      <c r="K41" s="12">
        <v>46022</v>
      </c>
    </row>
    <row r="42" spans="1:11" s="6" customFormat="1" x14ac:dyDescent="0.3">
      <c r="A42" s="6" t="s">
        <v>6</v>
      </c>
      <c r="B42">
        <v>38994</v>
      </c>
      <c r="C42">
        <v>38821</v>
      </c>
      <c r="D42">
        <v>37923</v>
      </c>
      <c r="E42">
        <v>39315</v>
      </c>
      <c r="F42">
        <v>40986</v>
      </c>
      <c r="G42">
        <v>41764</v>
      </c>
      <c r="H42">
        <v>40925</v>
      </c>
      <c r="I42">
        <v>42279</v>
      </c>
      <c r="J42">
        <v>44490</v>
      </c>
      <c r="K42">
        <v>45479</v>
      </c>
    </row>
    <row r="43" spans="1:11" s="6" customFormat="1" x14ac:dyDescent="0.3">
      <c r="A43" s="6" t="s">
        <v>7</v>
      </c>
      <c r="B43">
        <v>29554</v>
      </c>
      <c r="C43">
        <v>29684</v>
      </c>
      <c r="D43">
        <v>29139</v>
      </c>
      <c r="E43">
        <v>29878</v>
      </c>
      <c r="F43">
        <v>31177</v>
      </c>
      <c r="G43">
        <v>31649</v>
      </c>
      <c r="H43">
        <v>31051</v>
      </c>
      <c r="I43">
        <v>32336</v>
      </c>
      <c r="J43">
        <v>33955</v>
      </c>
      <c r="K43">
        <v>34845</v>
      </c>
    </row>
    <row r="44" spans="1:11" s="6" customFormat="1" x14ac:dyDescent="0.3">
      <c r="A44" s="6" t="s">
        <v>9</v>
      </c>
      <c r="B44">
        <v>632</v>
      </c>
      <c r="C44">
        <v>789</v>
      </c>
      <c r="D44">
        <v>2729</v>
      </c>
      <c r="E44">
        <v>838</v>
      </c>
      <c r="F44">
        <v>712</v>
      </c>
      <c r="G44">
        <v>859</v>
      </c>
      <c r="H44">
        <v>1190</v>
      </c>
      <c r="I44">
        <v>1042</v>
      </c>
      <c r="J44">
        <v>982</v>
      </c>
      <c r="K44">
        <v>-150</v>
      </c>
    </row>
    <row r="45" spans="1:11" s="6" customFormat="1" x14ac:dyDescent="0.3">
      <c r="A45" s="6" t="s">
        <v>10</v>
      </c>
      <c r="B45">
        <v>1166</v>
      </c>
      <c r="C45">
        <v>1176</v>
      </c>
      <c r="D45">
        <v>1163</v>
      </c>
      <c r="E45">
        <v>1149</v>
      </c>
      <c r="F45">
        <v>1160</v>
      </c>
      <c r="G45">
        <v>1203</v>
      </c>
      <c r="H45">
        <v>1299</v>
      </c>
      <c r="I45">
        <v>1140</v>
      </c>
      <c r="J45">
        <v>1182</v>
      </c>
      <c r="K45">
        <v>1155</v>
      </c>
    </row>
    <row r="46" spans="1:11" s="6" customFormat="1" x14ac:dyDescent="0.3">
      <c r="A46" s="6" t="s">
        <v>11</v>
      </c>
      <c r="B46">
        <v>138</v>
      </c>
      <c r="C46">
        <v>131</v>
      </c>
      <c r="D46">
        <v>110</v>
      </c>
      <c r="E46">
        <v>105</v>
      </c>
      <c r="F46">
        <v>108</v>
      </c>
      <c r="G46">
        <v>101</v>
      </c>
      <c r="H46">
        <v>102</v>
      </c>
      <c r="I46">
        <v>105</v>
      </c>
      <c r="J46">
        <v>106</v>
      </c>
      <c r="K46">
        <v>100</v>
      </c>
    </row>
    <row r="47" spans="1:11" s="6" customFormat="1" x14ac:dyDescent="0.3">
      <c r="A47" s="6" t="s">
        <v>12</v>
      </c>
      <c r="B47">
        <v>8768</v>
      </c>
      <c r="C47">
        <v>8619</v>
      </c>
      <c r="D47">
        <v>10240</v>
      </c>
      <c r="E47">
        <v>9021</v>
      </c>
      <c r="F47">
        <v>9253</v>
      </c>
      <c r="G47">
        <v>9670</v>
      </c>
      <c r="H47">
        <v>9663</v>
      </c>
      <c r="I47">
        <v>9740</v>
      </c>
      <c r="J47">
        <v>10229</v>
      </c>
      <c r="K47">
        <v>9229</v>
      </c>
    </row>
    <row r="48" spans="1:11" s="6" customFormat="1" x14ac:dyDescent="0.3">
      <c r="A48" s="6" t="s">
        <v>13</v>
      </c>
      <c r="B48">
        <v>2553</v>
      </c>
      <c r="C48">
        <v>2506</v>
      </c>
      <c r="D48">
        <v>2265</v>
      </c>
      <c r="E48">
        <v>2647</v>
      </c>
      <c r="F48">
        <v>2737</v>
      </c>
      <c r="G48">
        <v>2848</v>
      </c>
      <c r="H48">
        <v>2625</v>
      </c>
      <c r="I48">
        <v>2816</v>
      </c>
      <c r="J48">
        <v>2854</v>
      </c>
      <c r="K48">
        <v>2563</v>
      </c>
    </row>
    <row r="49" spans="1:11" s="6" customFormat="1" x14ac:dyDescent="0.3">
      <c r="A49" s="6" t="s">
        <v>14</v>
      </c>
      <c r="B49">
        <v>6212</v>
      </c>
      <c r="C49">
        <v>6106</v>
      </c>
      <c r="D49">
        <v>7969</v>
      </c>
      <c r="E49">
        <v>6368</v>
      </c>
      <c r="F49">
        <v>6506</v>
      </c>
      <c r="G49">
        <v>6806</v>
      </c>
      <c r="H49">
        <v>7033</v>
      </c>
      <c r="I49">
        <v>6921</v>
      </c>
      <c r="J49">
        <v>7364</v>
      </c>
      <c r="K49">
        <v>6654</v>
      </c>
    </row>
    <row r="50" spans="1:11" x14ac:dyDescent="0.3">
      <c r="A50" s="6" t="s">
        <v>8</v>
      </c>
      <c r="B50">
        <v>9440</v>
      </c>
      <c r="C50">
        <v>9137</v>
      </c>
      <c r="D50">
        <v>8784</v>
      </c>
      <c r="E50">
        <v>9437</v>
      </c>
      <c r="F50">
        <v>9809</v>
      </c>
      <c r="G50">
        <v>10115</v>
      </c>
      <c r="H50">
        <v>9874</v>
      </c>
      <c r="I50">
        <v>9943</v>
      </c>
      <c r="J50">
        <v>10535</v>
      </c>
      <c r="K50">
        <v>10634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40</v>
      </c>
    </row>
    <row r="56" spans="1:11" s="18" customFormat="1" x14ac:dyDescent="0.3">
      <c r="A56" s="17" t="s">
        <v>38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3">
      <c r="A57" s="6" t="s">
        <v>24</v>
      </c>
      <c r="B57">
        <v>1144</v>
      </c>
      <c r="C57">
        <v>1144</v>
      </c>
      <c r="D57">
        <v>1088</v>
      </c>
      <c r="E57">
        <v>2170</v>
      </c>
      <c r="F57">
        <v>2122</v>
      </c>
      <c r="G57">
        <v>2124</v>
      </c>
      <c r="H57">
        <v>2098</v>
      </c>
      <c r="I57">
        <v>2069</v>
      </c>
      <c r="J57">
        <v>2071</v>
      </c>
      <c r="K57">
        <v>2073</v>
      </c>
    </row>
    <row r="58" spans="1:11" x14ac:dyDescent="0.3">
      <c r="A58" s="6" t="s">
        <v>25</v>
      </c>
      <c r="B58">
        <v>60600</v>
      </c>
      <c r="C58">
        <v>67838</v>
      </c>
      <c r="D58">
        <v>63835</v>
      </c>
      <c r="E58">
        <v>62778</v>
      </c>
      <c r="F58">
        <v>63328</v>
      </c>
      <c r="G58">
        <v>74227</v>
      </c>
      <c r="H58">
        <v>73252</v>
      </c>
      <c r="I58">
        <v>73338</v>
      </c>
      <c r="J58">
        <v>86045</v>
      </c>
      <c r="K58">
        <v>93745</v>
      </c>
    </row>
    <row r="59" spans="1:11" x14ac:dyDescent="0.3">
      <c r="A59" s="6" t="s">
        <v>71</v>
      </c>
      <c r="F59">
        <v>4633</v>
      </c>
      <c r="G59">
        <v>5325</v>
      </c>
      <c r="H59">
        <v>5474</v>
      </c>
      <c r="I59">
        <v>8299</v>
      </c>
      <c r="J59">
        <v>8359</v>
      </c>
      <c r="K59">
        <v>8227</v>
      </c>
    </row>
    <row r="60" spans="1:11" x14ac:dyDescent="0.3">
      <c r="A60" s="6" t="s">
        <v>72</v>
      </c>
      <c r="B60">
        <v>13354</v>
      </c>
      <c r="C60">
        <v>14166</v>
      </c>
      <c r="D60">
        <v>14426</v>
      </c>
      <c r="E60">
        <v>19118</v>
      </c>
      <c r="F60">
        <v>21717</v>
      </c>
      <c r="G60">
        <v>25835</v>
      </c>
      <c r="H60">
        <v>35905</v>
      </c>
      <c r="I60">
        <v>40890</v>
      </c>
      <c r="J60">
        <v>40885</v>
      </c>
      <c r="K60">
        <v>43750</v>
      </c>
    </row>
    <row r="61" spans="1:11" s="1" customFormat="1" x14ac:dyDescent="0.3">
      <c r="A61" s="1" t="s">
        <v>26</v>
      </c>
      <c r="B61">
        <v>75098</v>
      </c>
      <c r="C61">
        <v>83148</v>
      </c>
      <c r="D61">
        <v>79349</v>
      </c>
      <c r="E61">
        <v>84066</v>
      </c>
      <c r="F61">
        <v>91800</v>
      </c>
      <c r="G61">
        <v>107511</v>
      </c>
      <c r="H61">
        <v>116729</v>
      </c>
      <c r="I61">
        <v>124596</v>
      </c>
      <c r="J61">
        <v>137360</v>
      </c>
      <c r="K61">
        <v>147795</v>
      </c>
    </row>
    <row r="62" spans="1:11" x14ac:dyDescent="0.3">
      <c r="A62" s="6" t="s">
        <v>27</v>
      </c>
      <c r="B62">
        <v>13386</v>
      </c>
      <c r="C62">
        <v>14179</v>
      </c>
      <c r="D62">
        <v>12574</v>
      </c>
      <c r="E62">
        <v>15710</v>
      </c>
      <c r="F62">
        <v>23789</v>
      </c>
      <c r="G62">
        <v>25505</v>
      </c>
      <c r="H62">
        <v>25800</v>
      </c>
      <c r="I62">
        <v>29225</v>
      </c>
      <c r="J62">
        <v>27622</v>
      </c>
      <c r="K62">
        <v>30961</v>
      </c>
    </row>
    <row r="63" spans="1:11" x14ac:dyDescent="0.3">
      <c r="A63" s="6" t="s">
        <v>28</v>
      </c>
      <c r="B63">
        <v>960</v>
      </c>
      <c r="C63">
        <v>1365</v>
      </c>
      <c r="D63">
        <v>1606</v>
      </c>
      <c r="E63">
        <v>1388</v>
      </c>
      <c r="F63">
        <v>954</v>
      </c>
      <c r="G63">
        <v>922</v>
      </c>
      <c r="H63">
        <v>416</v>
      </c>
      <c r="I63">
        <v>288</v>
      </c>
      <c r="J63">
        <v>293</v>
      </c>
      <c r="K63">
        <v>814</v>
      </c>
    </row>
    <row r="64" spans="1:11" x14ac:dyDescent="0.3">
      <c r="A64" s="6" t="s">
        <v>29</v>
      </c>
      <c r="B64">
        <v>1892</v>
      </c>
      <c r="C64">
        <v>16423</v>
      </c>
      <c r="D64">
        <v>12163</v>
      </c>
      <c r="E64">
        <v>11261</v>
      </c>
      <c r="F64">
        <v>8792</v>
      </c>
      <c r="G64">
        <v>14205</v>
      </c>
      <c r="H64">
        <v>20324</v>
      </c>
      <c r="I64">
        <v>19478</v>
      </c>
      <c r="J64">
        <v>24623</v>
      </c>
      <c r="K64">
        <v>23541</v>
      </c>
    </row>
    <row r="65" spans="1:11" x14ac:dyDescent="0.3">
      <c r="A65" s="6" t="s">
        <v>73</v>
      </c>
      <c r="B65">
        <v>58860</v>
      </c>
      <c r="C65">
        <v>51181</v>
      </c>
      <c r="D65">
        <v>53006</v>
      </c>
      <c r="E65">
        <v>55707</v>
      </c>
      <c r="F65">
        <v>58265</v>
      </c>
      <c r="G65">
        <v>66879</v>
      </c>
      <c r="H65">
        <v>70189</v>
      </c>
      <c r="I65">
        <v>75605</v>
      </c>
      <c r="J65">
        <v>84822</v>
      </c>
      <c r="K65">
        <v>92479</v>
      </c>
    </row>
    <row r="66" spans="1:11" s="1" customFormat="1" x14ac:dyDescent="0.3">
      <c r="A66" s="1" t="s">
        <v>26</v>
      </c>
      <c r="B66">
        <v>75098</v>
      </c>
      <c r="C66">
        <v>83148</v>
      </c>
      <c r="D66">
        <v>79349</v>
      </c>
      <c r="E66">
        <v>84066</v>
      </c>
      <c r="F66">
        <v>91800</v>
      </c>
      <c r="G66">
        <v>107511</v>
      </c>
      <c r="H66">
        <v>116729</v>
      </c>
      <c r="I66">
        <v>124596</v>
      </c>
      <c r="J66">
        <v>137360</v>
      </c>
      <c r="K66">
        <v>147795</v>
      </c>
    </row>
    <row r="67" spans="1:11" s="6" customFormat="1" x14ac:dyDescent="0.3">
      <c r="A67" s="6" t="s">
        <v>78</v>
      </c>
      <c r="B67">
        <v>11330</v>
      </c>
      <c r="C67">
        <v>12322</v>
      </c>
      <c r="D67">
        <v>13142</v>
      </c>
      <c r="E67">
        <v>14827</v>
      </c>
      <c r="F67">
        <v>18487</v>
      </c>
      <c r="G67">
        <v>19294</v>
      </c>
      <c r="H67">
        <v>22698</v>
      </c>
      <c r="I67">
        <v>25424</v>
      </c>
      <c r="J67">
        <v>30193</v>
      </c>
      <c r="K67">
        <v>31158</v>
      </c>
    </row>
    <row r="68" spans="1:11" x14ac:dyDescent="0.3">
      <c r="A68" s="6" t="s">
        <v>45</v>
      </c>
    </row>
    <row r="69" spans="1:11" x14ac:dyDescent="0.3">
      <c r="A69" s="4" t="s">
        <v>87</v>
      </c>
      <c r="B69">
        <v>32697</v>
      </c>
      <c r="C69">
        <v>22625</v>
      </c>
      <c r="D69">
        <v>19818</v>
      </c>
      <c r="E69">
        <v>19568</v>
      </c>
      <c r="F69">
        <v>18649</v>
      </c>
      <c r="G69">
        <v>24714</v>
      </c>
      <c r="H69">
        <v>17472</v>
      </c>
      <c r="I69">
        <v>12173</v>
      </c>
      <c r="J69">
        <v>14786</v>
      </c>
      <c r="K69">
        <v>24455</v>
      </c>
    </row>
    <row r="70" spans="1:11" x14ac:dyDescent="0.3">
      <c r="A70" s="4" t="s">
        <v>74</v>
      </c>
      <c r="B70">
        <v>2285621088</v>
      </c>
      <c r="C70">
        <v>2285655150</v>
      </c>
      <c r="D70">
        <v>2173312301</v>
      </c>
      <c r="E70">
        <v>4335954462</v>
      </c>
      <c r="F70">
        <v>4240753210</v>
      </c>
      <c r="G70">
        <v>4245146114</v>
      </c>
      <c r="H70">
        <v>4193012929</v>
      </c>
      <c r="I70">
        <v>4136387925</v>
      </c>
      <c r="J70">
        <v>4139950635</v>
      </c>
      <c r="K70">
        <v>4143607528</v>
      </c>
    </row>
    <row r="71" spans="1:11" x14ac:dyDescent="0.3">
      <c r="A71" s="4" t="s">
        <v>75</v>
      </c>
      <c r="B71">
        <v>1148472332</v>
      </c>
      <c r="E71">
        <v>2184191490</v>
      </c>
    </row>
    <row r="72" spans="1:11" x14ac:dyDescent="0.3">
      <c r="A72" s="4" t="s">
        <v>88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41</v>
      </c>
    </row>
    <row r="81" spans="1:11" s="18" customFormat="1" x14ac:dyDescent="0.3">
      <c r="A81" s="17" t="s">
        <v>38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3">
      <c r="A82" s="6" t="s">
        <v>32</v>
      </c>
      <c r="B82">
        <v>10028</v>
      </c>
      <c r="C82">
        <v>11531</v>
      </c>
      <c r="D82">
        <v>13218</v>
      </c>
      <c r="E82">
        <v>14841</v>
      </c>
      <c r="F82">
        <v>17003</v>
      </c>
      <c r="G82">
        <v>23224</v>
      </c>
      <c r="H82">
        <v>23885</v>
      </c>
      <c r="I82">
        <v>22467</v>
      </c>
      <c r="J82">
        <v>25210</v>
      </c>
      <c r="K82">
        <v>35694</v>
      </c>
    </row>
    <row r="83" spans="1:11" s="6" customFormat="1" x14ac:dyDescent="0.3">
      <c r="A83" s="6" t="s">
        <v>33</v>
      </c>
      <c r="B83">
        <v>-885</v>
      </c>
      <c r="C83">
        <v>-14664</v>
      </c>
      <c r="D83">
        <v>4533</v>
      </c>
      <c r="E83">
        <v>-632</v>
      </c>
      <c r="F83">
        <v>-331</v>
      </c>
      <c r="G83">
        <v>-7373</v>
      </c>
      <c r="H83">
        <v>-6485</v>
      </c>
      <c r="I83">
        <v>-1071</v>
      </c>
      <c r="J83">
        <v>-5093</v>
      </c>
      <c r="K83">
        <v>-1864</v>
      </c>
    </row>
    <row r="84" spans="1:11" s="6" customFormat="1" x14ac:dyDescent="0.3">
      <c r="A84" s="6" t="s">
        <v>34</v>
      </c>
      <c r="B84">
        <v>-6813</v>
      </c>
      <c r="C84">
        <v>-6939</v>
      </c>
      <c r="D84">
        <v>-20505</v>
      </c>
      <c r="E84">
        <v>-14512</v>
      </c>
      <c r="F84">
        <v>-17591</v>
      </c>
      <c r="G84">
        <v>-9786</v>
      </c>
      <c r="H84">
        <v>-24642</v>
      </c>
      <c r="I84">
        <v>-26695</v>
      </c>
      <c r="J84">
        <v>-17504</v>
      </c>
      <c r="K84">
        <v>-24161</v>
      </c>
    </row>
    <row r="85" spans="1:11" s="1" customFormat="1" x14ac:dyDescent="0.3">
      <c r="A85" s="6" t="s">
        <v>35</v>
      </c>
      <c r="B85">
        <v>2330</v>
      </c>
      <c r="C85">
        <v>-10072</v>
      </c>
      <c r="D85">
        <v>-2754</v>
      </c>
      <c r="E85">
        <v>-303</v>
      </c>
      <c r="F85">
        <v>-919</v>
      </c>
      <c r="G85">
        <v>6065</v>
      </c>
      <c r="H85">
        <v>-7242</v>
      </c>
      <c r="I85">
        <v>-5299</v>
      </c>
      <c r="J85">
        <v>2613</v>
      </c>
      <c r="K85">
        <v>9669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77</v>
      </c>
      <c r="B90">
        <v>609.15</v>
      </c>
      <c r="C90">
        <v>511.13</v>
      </c>
      <c r="D90">
        <v>565.9</v>
      </c>
      <c r="E90">
        <v>743.85</v>
      </c>
      <c r="F90">
        <v>641.5</v>
      </c>
      <c r="G90">
        <v>1368.05</v>
      </c>
      <c r="H90">
        <v>1906.85</v>
      </c>
      <c r="I90">
        <v>1427.95</v>
      </c>
      <c r="J90">
        <v>1498.05</v>
      </c>
      <c r="K90">
        <v>1570.65</v>
      </c>
    </row>
    <row r="92" spans="1:11" s="1" customFormat="1" x14ac:dyDescent="0.3">
      <c r="A92" s="1" t="s">
        <v>76</v>
      </c>
    </row>
    <row r="93" spans="1:11" x14ac:dyDescent="0.3">
      <c r="A93" s="4" t="s">
        <v>89</v>
      </c>
      <c r="B93" s="24">
        <v>459.39</v>
      </c>
      <c r="C93" s="24">
        <v>459.39</v>
      </c>
      <c r="D93" s="24">
        <v>436.82</v>
      </c>
      <c r="E93" s="24">
        <v>436.89</v>
      </c>
      <c r="F93" s="24">
        <v>425.9</v>
      </c>
      <c r="G93" s="24">
        <v>426.07</v>
      </c>
      <c r="H93" s="24">
        <v>420.67</v>
      </c>
      <c r="I93" s="24">
        <v>414.86</v>
      </c>
      <c r="J93" s="24">
        <v>415.09</v>
      </c>
      <c r="K93" s="24">
        <v>415.33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F5896-843A-4C1D-B6B1-B605EBEC21EB}">
  <dimension ref="B2:Q45"/>
  <sheetViews>
    <sheetView showGridLines="0" topLeftCell="A7" workbookViewId="0">
      <selection activeCell="J17" sqref="J17"/>
    </sheetView>
  </sheetViews>
  <sheetFormatPr defaultRowHeight="14.4" x14ac:dyDescent="0.3"/>
  <cols>
    <col min="1" max="1" width="6.21875" customWidth="1"/>
    <col min="2" max="2" width="21" bestFit="1" customWidth="1"/>
    <col min="8" max="8" width="21" bestFit="1" customWidth="1"/>
    <col min="16" max="16" width="18.77734375" bestFit="1" customWidth="1"/>
  </cols>
  <sheetData>
    <row r="2" spans="2:17" x14ac:dyDescent="0.3">
      <c r="B2" s="25"/>
      <c r="C2" s="26">
        <v>44651</v>
      </c>
      <c r="D2" s="26">
        <v>45016</v>
      </c>
      <c r="E2" s="26">
        <v>45382</v>
      </c>
      <c r="F2" s="26">
        <v>45747</v>
      </c>
      <c r="H2" s="25"/>
      <c r="I2" s="26">
        <v>44651</v>
      </c>
      <c r="J2" s="26">
        <v>45016</v>
      </c>
      <c r="K2" s="26">
        <v>45382</v>
      </c>
      <c r="L2" s="26">
        <v>45747</v>
      </c>
      <c r="M2" s="27" t="s">
        <v>93</v>
      </c>
      <c r="P2" s="36" t="s">
        <v>129</v>
      </c>
      <c r="Q2" s="32" t="s">
        <v>93</v>
      </c>
    </row>
    <row r="3" spans="2:17" x14ac:dyDescent="0.3">
      <c r="B3" s="27" t="s">
        <v>6</v>
      </c>
      <c r="C3" s="28">
        <v>121641</v>
      </c>
      <c r="D3" s="28">
        <v>146767</v>
      </c>
      <c r="E3" s="28">
        <v>153670</v>
      </c>
      <c r="F3" s="28">
        <v>162990</v>
      </c>
      <c r="H3" s="27" t="s">
        <v>6</v>
      </c>
      <c r="I3" s="30"/>
      <c r="J3" s="30">
        <f>D3/C3-1</f>
        <v>0.20655864387829759</v>
      </c>
      <c r="K3" s="30">
        <f t="shared" ref="K3:L3" si="0">E3/D3-1</f>
        <v>4.7033733741236095E-2</v>
      </c>
      <c r="L3" s="30">
        <f t="shared" si="0"/>
        <v>6.0649443612936782E-2</v>
      </c>
      <c r="M3" s="30">
        <f>AVERAGE(I3:L3)</f>
        <v>0.10474727374415682</v>
      </c>
      <c r="P3" s="32" t="s">
        <v>6</v>
      </c>
      <c r="Q3" s="28">
        <v>0.1</v>
      </c>
    </row>
    <row r="4" spans="2:17" x14ac:dyDescent="0.3">
      <c r="B4" s="27" t="s">
        <v>7</v>
      </c>
      <c r="C4" s="28">
        <v>90150</v>
      </c>
      <c r="D4" s="28">
        <v>111637</v>
      </c>
      <c r="E4" s="28">
        <v>117245</v>
      </c>
      <c r="F4" s="28">
        <v>123754</v>
      </c>
      <c r="H4" s="27" t="s">
        <v>7</v>
      </c>
      <c r="I4" s="30">
        <f>C4/C3</f>
        <v>0.74111524897033076</v>
      </c>
      <c r="J4" s="30">
        <f t="shared" ref="J4:L4" si="1">D4/D3</f>
        <v>0.76064101603221435</v>
      </c>
      <c r="K4" s="30">
        <f t="shared" si="1"/>
        <v>0.76296609618012623</v>
      </c>
      <c r="L4" s="30">
        <f t="shared" si="1"/>
        <v>0.75927357506595494</v>
      </c>
      <c r="M4" s="30">
        <f t="shared" ref="M4:M10" si="2">AVERAGE(I4:L4)</f>
        <v>0.7559989840621566</v>
      </c>
      <c r="P4" s="32" t="s">
        <v>122</v>
      </c>
      <c r="Q4" s="28">
        <v>0.76</v>
      </c>
    </row>
    <row r="5" spans="2:17" x14ac:dyDescent="0.3">
      <c r="B5" s="27" t="s">
        <v>8</v>
      </c>
      <c r="C5" s="28">
        <v>31491</v>
      </c>
      <c r="D5" s="28">
        <v>35130</v>
      </c>
      <c r="E5" s="28">
        <v>36425</v>
      </c>
      <c r="F5" s="28">
        <v>39236</v>
      </c>
      <c r="H5" s="27" t="s">
        <v>8</v>
      </c>
      <c r="I5" s="30"/>
      <c r="J5" s="30"/>
      <c r="K5" s="30"/>
      <c r="L5" s="30"/>
      <c r="M5" s="30"/>
      <c r="P5" s="32" t="s">
        <v>123</v>
      </c>
      <c r="Q5" s="28">
        <v>0.03</v>
      </c>
    </row>
    <row r="6" spans="2:17" x14ac:dyDescent="0.3">
      <c r="B6" s="27" t="s">
        <v>9</v>
      </c>
      <c r="C6" s="28">
        <v>2295</v>
      </c>
      <c r="D6" s="28">
        <v>2701</v>
      </c>
      <c r="E6" s="28">
        <v>4711</v>
      </c>
      <c r="F6" s="28">
        <v>3600</v>
      </c>
      <c r="H6" s="27" t="s">
        <v>9</v>
      </c>
      <c r="I6" s="30"/>
      <c r="J6" s="30"/>
      <c r="K6" s="30"/>
      <c r="L6" s="30"/>
      <c r="M6" s="30"/>
      <c r="P6" s="32" t="s">
        <v>13</v>
      </c>
      <c r="Q6" s="28">
        <v>0.28000000000000003</v>
      </c>
    </row>
    <row r="7" spans="2:17" x14ac:dyDescent="0.3">
      <c r="B7" s="27" t="s">
        <v>10</v>
      </c>
      <c r="C7" s="28">
        <v>3476</v>
      </c>
      <c r="D7" s="28">
        <v>4225</v>
      </c>
      <c r="E7" s="28">
        <v>4678</v>
      </c>
      <c r="F7" s="28">
        <v>4812</v>
      </c>
      <c r="H7" s="27" t="s">
        <v>10</v>
      </c>
      <c r="I7" s="30">
        <f>C7/C3</f>
        <v>2.8575891352422292E-2</v>
      </c>
      <c r="J7" s="30">
        <f>D7/D3</f>
        <v>2.8787125171189708E-2</v>
      </c>
      <c r="K7" s="30">
        <f>E7/E3</f>
        <v>3.0441855925034164E-2</v>
      </c>
      <c r="L7" s="30">
        <f>F7/F3</f>
        <v>2.9523283637032948E-2</v>
      </c>
      <c r="M7" s="30">
        <f t="shared" si="2"/>
        <v>2.933203902141978E-2</v>
      </c>
      <c r="P7" s="32"/>
      <c r="Q7" s="28"/>
    </row>
    <row r="8" spans="2:17" x14ac:dyDescent="0.3">
      <c r="B8" s="27" t="s">
        <v>11</v>
      </c>
      <c r="C8" s="28">
        <v>200</v>
      </c>
      <c r="D8" s="28">
        <v>284</v>
      </c>
      <c r="E8" s="28">
        <v>470</v>
      </c>
      <c r="F8" s="28">
        <v>416</v>
      </c>
      <c r="H8" s="27" t="s">
        <v>11</v>
      </c>
      <c r="I8" s="30"/>
      <c r="J8" s="30"/>
      <c r="K8" s="30"/>
      <c r="L8" s="30"/>
      <c r="M8" s="30"/>
      <c r="P8" s="32" t="s">
        <v>124</v>
      </c>
      <c r="Q8" s="28">
        <v>2073</v>
      </c>
    </row>
    <row r="9" spans="2:17" x14ac:dyDescent="0.3">
      <c r="B9" s="27" t="s">
        <v>12</v>
      </c>
      <c r="C9" s="28">
        <v>30110</v>
      </c>
      <c r="D9" s="28">
        <v>33322</v>
      </c>
      <c r="E9" s="28">
        <v>35988</v>
      </c>
      <c r="F9" s="28">
        <v>37608</v>
      </c>
      <c r="H9" s="27" t="s">
        <v>12</v>
      </c>
      <c r="I9" s="30"/>
      <c r="J9" s="30"/>
      <c r="K9" s="30"/>
      <c r="L9" s="30"/>
      <c r="M9" s="30"/>
      <c r="P9" s="32" t="s">
        <v>117</v>
      </c>
      <c r="Q9" s="28">
        <v>0.18</v>
      </c>
    </row>
    <row r="10" spans="2:17" x14ac:dyDescent="0.3">
      <c r="B10" s="27" t="s">
        <v>13</v>
      </c>
      <c r="C10" s="28">
        <v>7964</v>
      </c>
      <c r="D10" s="28">
        <v>9214</v>
      </c>
      <c r="E10" s="28">
        <v>9740</v>
      </c>
      <c r="F10" s="28">
        <v>10858</v>
      </c>
      <c r="H10" s="27" t="s">
        <v>13</v>
      </c>
      <c r="I10" s="30">
        <f t="shared" ref="I10:L10" si="3">C10/C9</f>
        <v>0.26449684490202591</v>
      </c>
      <c r="J10" s="30">
        <f t="shared" si="3"/>
        <v>0.27651401476502013</v>
      </c>
      <c r="K10" s="30">
        <f t="shared" si="3"/>
        <v>0.27064577081249308</v>
      </c>
      <c r="L10" s="30">
        <f t="shared" si="3"/>
        <v>0.28871516698574773</v>
      </c>
      <c r="M10" s="30">
        <f t="shared" si="2"/>
        <v>0.27509294936632167</v>
      </c>
      <c r="P10" s="32" t="s">
        <v>125</v>
      </c>
      <c r="Q10" s="28">
        <v>0.28000000000000003</v>
      </c>
    </row>
    <row r="11" spans="2:17" x14ac:dyDescent="0.3">
      <c r="B11" s="27" t="s">
        <v>14</v>
      </c>
      <c r="C11" s="28">
        <v>22110</v>
      </c>
      <c r="D11" s="28">
        <v>24095</v>
      </c>
      <c r="E11" s="28">
        <v>26233</v>
      </c>
      <c r="F11" s="28">
        <v>26713</v>
      </c>
      <c r="H11" s="27" t="s">
        <v>14</v>
      </c>
      <c r="I11" s="28"/>
      <c r="J11" s="28"/>
      <c r="K11" s="28"/>
      <c r="L11" s="28"/>
      <c r="M11" s="28"/>
      <c r="P11" s="32" t="s">
        <v>128</v>
      </c>
      <c r="Q11" s="28">
        <v>0.64</v>
      </c>
    </row>
    <row r="12" spans="2:17" x14ac:dyDescent="0.3">
      <c r="B12" s="25"/>
      <c r="C12" s="28"/>
      <c r="D12" s="28"/>
      <c r="E12" s="28"/>
      <c r="F12" s="28"/>
      <c r="H12" s="27"/>
      <c r="I12" s="28"/>
      <c r="J12" s="28"/>
      <c r="K12" s="28"/>
      <c r="L12" s="28"/>
      <c r="M12" s="28"/>
      <c r="P12" s="32"/>
      <c r="Q12" s="28"/>
    </row>
    <row r="13" spans="2:17" x14ac:dyDescent="0.3">
      <c r="B13" s="37"/>
      <c r="C13" s="39"/>
      <c r="D13" s="39"/>
      <c r="E13" s="39"/>
      <c r="F13" s="39"/>
      <c r="H13" s="38"/>
      <c r="I13" s="39"/>
      <c r="J13" s="39"/>
      <c r="K13" s="39"/>
      <c r="L13" s="39"/>
      <c r="M13" s="39"/>
      <c r="P13" s="32" t="s">
        <v>115</v>
      </c>
      <c r="Q13" s="28">
        <v>0.05</v>
      </c>
    </row>
    <row r="14" spans="2:17" x14ac:dyDescent="0.3">
      <c r="B14" s="27" t="s">
        <v>2</v>
      </c>
      <c r="C14" s="29">
        <v>44651</v>
      </c>
      <c r="D14" s="29">
        <v>45016</v>
      </c>
      <c r="E14" s="29">
        <v>45382</v>
      </c>
      <c r="F14" s="29">
        <v>45747</v>
      </c>
      <c r="H14" s="27" t="s">
        <v>2</v>
      </c>
      <c r="I14" s="26">
        <v>44651</v>
      </c>
      <c r="J14" s="26">
        <v>45016</v>
      </c>
      <c r="K14" s="26">
        <v>45382</v>
      </c>
      <c r="L14" s="26">
        <v>45747</v>
      </c>
      <c r="M14" s="27" t="s">
        <v>93</v>
      </c>
      <c r="P14" s="32" t="s">
        <v>29</v>
      </c>
      <c r="Q14" s="28">
        <v>0.06</v>
      </c>
    </row>
    <row r="15" spans="2:17" x14ac:dyDescent="0.3">
      <c r="B15" s="27" t="s">
        <v>24</v>
      </c>
      <c r="C15" s="28">
        <v>2098</v>
      </c>
      <c r="D15" s="28">
        <v>2069</v>
      </c>
      <c r="E15" s="28">
        <v>2071</v>
      </c>
      <c r="F15" s="28">
        <v>2073</v>
      </c>
      <c r="H15" s="27" t="s">
        <v>24</v>
      </c>
      <c r="I15" s="30">
        <f t="shared" ref="I15:L15" si="4">C15</f>
        <v>2098</v>
      </c>
      <c r="J15" s="30">
        <f t="shared" si="4"/>
        <v>2069</v>
      </c>
      <c r="K15" s="30">
        <f t="shared" si="4"/>
        <v>2071</v>
      </c>
      <c r="L15" s="30">
        <f t="shared" si="4"/>
        <v>2073</v>
      </c>
      <c r="M15" s="30">
        <f>L15</f>
        <v>2073</v>
      </c>
      <c r="P15" s="32" t="s">
        <v>126</v>
      </c>
      <c r="Q15" s="28">
        <v>0.45</v>
      </c>
    </row>
    <row r="16" spans="2:17" x14ac:dyDescent="0.3">
      <c r="B16" s="27" t="s">
        <v>25</v>
      </c>
      <c r="C16" s="28">
        <v>73252</v>
      </c>
      <c r="D16" s="28">
        <v>73338</v>
      </c>
      <c r="E16" s="28">
        <v>86045</v>
      </c>
      <c r="F16" s="28">
        <v>93745</v>
      </c>
      <c r="H16" s="27" t="s">
        <v>25</v>
      </c>
      <c r="I16" s="30"/>
      <c r="J16" s="30"/>
      <c r="K16" s="30"/>
      <c r="L16" s="30"/>
      <c r="M16" s="30"/>
      <c r="P16" s="32" t="s">
        <v>127</v>
      </c>
      <c r="Q16" s="28">
        <v>0.04</v>
      </c>
    </row>
    <row r="17" spans="2:13" x14ac:dyDescent="0.3">
      <c r="B17" s="27" t="s">
        <v>71</v>
      </c>
      <c r="C17" s="28">
        <v>5474</v>
      </c>
      <c r="D17" s="28">
        <v>8299</v>
      </c>
      <c r="E17" s="28">
        <v>8359</v>
      </c>
      <c r="F17" s="28">
        <v>8227</v>
      </c>
      <c r="H17" s="27" t="s">
        <v>71</v>
      </c>
      <c r="I17" s="30"/>
      <c r="J17" s="30">
        <f>D17/C17-1</f>
        <v>0.51607599561563755</v>
      </c>
      <c r="K17" s="30">
        <f t="shared" ref="K17:L17" si="5">E17/D17-1</f>
        <v>7.2297867212918199E-3</v>
      </c>
      <c r="L17" s="30">
        <f t="shared" si="5"/>
        <v>-1.5791362603182146E-2</v>
      </c>
      <c r="M17" s="30">
        <f>AVERAGE(I17:L17)</f>
        <v>0.1691714732445824</v>
      </c>
    </row>
    <row r="18" spans="2:13" x14ac:dyDescent="0.3">
      <c r="B18" s="27" t="s">
        <v>72</v>
      </c>
      <c r="C18" s="28">
        <v>35905</v>
      </c>
      <c r="D18" s="28">
        <v>40890</v>
      </c>
      <c r="E18" s="28">
        <v>40885</v>
      </c>
      <c r="F18" s="28">
        <v>43750</v>
      </c>
      <c r="H18" s="27" t="s">
        <v>72</v>
      </c>
      <c r="I18" s="30">
        <f>C18/C3</f>
        <v>0.29517185817282005</v>
      </c>
      <c r="J18" s="30">
        <f t="shared" ref="J18:L18" si="6">D18/D3</f>
        <v>0.27860486349111174</v>
      </c>
      <c r="K18" s="30">
        <f t="shared" si="6"/>
        <v>0.26605713542005599</v>
      </c>
      <c r="L18" s="30">
        <f t="shared" si="6"/>
        <v>0.26842137554451195</v>
      </c>
      <c r="M18" s="30">
        <f t="shared" ref="M18:M24" si="7">AVERAGE(I18:L18)</f>
        <v>0.27706380815712495</v>
      </c>
    </row>
    <row r="19" spans="2:13" x14ac:dyDescent="0.3">
      <c r="B19" s="27" t="s">
        <v>26</v>
      </c>
      <c r="C19" s="28">
        <f>SUM(C15:C18)</f>
        <v>116729</v>
      </c>
      <c r="D19" s="28">
        <f t="shared" ref="D19:F19" si="8">SUM(D15:D18)</f>
        <v>124596</v>
      </c>
      <c r="E19" s="28">
        <f t="shared" si="8"/>
        <v>137360</v>
      </c>
      <c r="F19" s="28">
        <f t="shared" si="8"/>
        <v>147795</v>
      </c>
      <c r="H19" s="27" t="s">
        <v>26</v>
      </c>
      <c r="I19" s="30"/>
      <c r="J19" s="30"/>
      <c r="K19" s="30"/>
      <c r="L19" s="30"/>
      <c r="M19" s="30"/>
    </row>
    <row r="20" spans="2:13" x14ac:dyDescent="0.3">
      <c r="B20" s="27"/>
      <c r="C20" s="28"/>
      <c r="D20" s="28"/>
      <c r="E20" s="28"/>
      <c r="F20" s="28"/>
      <c r="H20" s="27"/>
      <c r="I20" s="30"/>
      <c r="J20" s="30"/>
      <c r="K20" s="30"/>
      <c r="L20" s="30"/>
      <c r="M20" s="30"/>
    </row>
    <row r="21" spans="2:13" x14ac:dyDescent="0.3">
      <c r="B21" s="27"/>
      <c r="C21" s="28"/>
      <c r="D21" s="28"/>
      <c r="E21" s="28"/>
      <c r="F21" s="28"/>
      <c r="H21" s="27" t="s">
        <v>27</v>
      </c>
      <c r="I21" s="30"/>
      <c r="J21" s="30"/>
      <c r="K21" s="30"/>
      <c r="L21" s="30"/>
      <c r="M21" s="30"/>
    </row>
    <row r="22" spans="2:13" x14ac:dyDescent="0.3">
      <c r="B22" s="27"/>
      <c r="C22" s="28"/>
      <c r="D22" s="28"/>
      <c r="E22" s="28"/>
      <c r="F22" s="28"/>
      <c r="H22" s="27" t="s">
        <v>28</v>
      </c>
      <c r="I22" s="30"/>
      <c r="J22" s="30">
        <f t="shared" ref="J22:L23" si="9">D25/C25-1</f>
        <v>-0.30769230769230771</v>
      </c>
      <c r="K22" s="30">
        <f t="shared" si="9"/>
        <v>1.736111111111116E-2</v>
      </c>
      <c r="L22" s="30">
        <f t="shared" si="9"/>
        <v>1.7781569965870307</v>
      </c>
      <c r="M22" s="30">
        <f t="shared" si="7"/>
        <v>0.49594193333527808</v>
      </c>
    </row>
    <row r="23" spans="2:13" x14ac:dyDescent="0.3">
      <c r="B23" s="27" t="s">
        <v>94</v>
      </c>
      <c r="C23" s="28">
        <f>C42</f>
        <v>13207</v>
      </c>
      <c r="D23" s="28">
        <f>D42</f>
        <v>15466</v>
      </c>
      <c r="E23" s="28">
        <f>E42</f>
        <v>10692</v>
      </c>
      <c r="F23" s="28">
        <f>F42</f>
        <v>12592</v>
      </c>
      <c r="H23" s="27" t="s">
        <v>29</v>
      </c>
      <c r="I23" s="30"/>
      <c r="J23" s="30">
        <f t="shared" si="9"/>
        <v>-4.1625664239323013E-2</v>
      </c>
      <c r="K23" s="30">
        <f t="shared" si="9"/>
        <v>0.26414416264503537</v>
      </c>
      <c r="L23" s="30">
        <f t="shared" si="9"/>
        <v>-4.39426552410348E-2</v>
      </c>
      <c r="M23" s="30">
        <f t="shared" si="7"/>
        <v>5.952528105489252E-2</v>
      </c>
    </row>
    <row r="24" spans="2:13" x14ac:dyDescent="0.3">
      <c r="B24" s="27" t="s">
        <v>27</v>
      </c>
      <c r="C24" s="28">
        <v>25800</v>
      </c>
      <c r="D24" s="28">
        <v>29225</v>
      </c>
      <c r="E24" s="28">
        <v>27622</v>
      </c>
      <c r="F24" s="28">
        <v>30961</v>
      </c>
      <c r="H24" s="27" t="s">
        <v>73</v>
      </c>
      <c r="I24" s="30"/>
      <c r="J24" s="30">
        <f>C27/C3</f>
        <v>0.46844402791821838</v>
      </c>
      <c r="K24" s="30">
        <f>D27/D3</f>
        <v>0.40975832441897703</v>
      </c>
      <c r="L24" s="30">
        <f>E27/E3</f>
        <v>0.48239734495997916</v>
      </c>
      <c r="M24" s="30">
        <f t="shared" si="7"/>
        <v>0.45353323243239152</v>
      </c>
    </row>
    <row r="25" spans="2:13" x14ac:dyDescent="0.3">
      <c r="B25" s="27" t="s">
        <v>28</v>
      </c>
      <c r="C25" s="28">
        <v>416</v>
      </c>
      <c r="D25" s="28">
        <v>288</v>
      </c>
      <c r="E25" s="28">
        <v>293</v>
      </c>
      <c r="F25" s="28">
        <v>814</v>
      </c>
      <c r="H25" s="27" t="s">
        <v>26</v>
      </c>
      <c r="I25" s="30"/>
      <c r="J25" s="30"/>
      <c r="K25" s="30"/>
      <c r="L25" s="30"/>
      <c r="M25" s="30"/>
    </row>
    <row r="26" spans="2:13" x14ac:dyDescent="0.3">
      <c r="B26" s="27" t="s">
        <v>29</v>
      </c>
      <c r="C26" s="28">
        <v>20324</v>
      </c>
      <c r="D26" s="28">
        <v>19478</v>
      </c>
      <c r="E26" s="28">
        <v>24623</v>
      </c>
      <c r="F26" s="28">
        <v>23541</v>
      </c>
      <c r="H26" s="27"/>
      <c r="I26" s="28"/>
      <c r="J26" s="28"/>
      <c r="K26" s="28"/>
      <c r="L26" s="28"/>
      <c r="M26" s="28"/>
    </row>
    <row r="27" spans="2:13" x14ac:dyDescent="0.3">
      <c r="B27" s="27" t="s">
        <v>73</v>
      </c>
      <c r="C27" s="28">
        <f>C38</f>
        <v>56982</v>
      </c>
      <c r="D27" s="28">
        <f>D38</f>
        <v>60139</v>
      </c>
      <c r="E27" s="28">
        <f>E38</f>
        <v>74130</v>
      </c>
      <c r="F27" s="28">
        <f>F38</f>
        <v>79887</v>
      </c>
      <c r="H27" s="27" t="s">
        <v>30</v>
      </c>
      <c r="I27" s="28"/>
      <c r="J27" s="28"/>
      <c r="K27" s="28"/>
      <c r="L27" s="28"/>
      <c r="M27" s="28"/>
    </row>
    <row r="28" spans="2:13" x14ac:dyDescent="0.3">
      <c r="B28" s="27" t="s">
        <v>26</v>
      </c>
      <c r="C28" s="28">
        <f>SUM(C23:C27)</f>
        <v>116729</v>
      </c>
      <c r="D28" s="28">
        <f t="shared" ref="D28:F28" si="10">SUM(D23:D27)</f>
        <v>124596</v>
      </c>
      <c r="E28" s="28">
        <f t="shared" si="10"/>
        <v>137360</v>
      </c>
      <c r="F28" s="28">
        <f t="shared" si="10"/>
        <v>147795</v>
      </c>
      <c r="H28" s="27" t="s">
        <v>44</v>
      </c>
      <c r="I28" s="28"/>
      <c r="J28" s="28"/>
      <c r="K28" s="28"/>
      <c r="L28" s="28"/>
      <c r="M28" s="28"/>
    </row>
    <row r="29" spans="2:13" x14ac:dyDescent="0.3">
      <c r="B29" s="25"/>
      <c r="C29" s="28"/>
      <c r="D29" s="28"/>
      <c r="E29" s="28"/>
      <c r="F29" s="28"/>
      <c r="H29" s="27" t="s">
        <v>45</v>
      </c>
      <c r="I29" s="28"/>
      <c r="J29" s="28"/>
      <c r="K29" s="28"/>
      <c r="L29" s="28"/>
      <c r="M29" s="28"/>
    </row>
    <row r="30" spans="2:13" x14ac:dyDescent="0.3">
      <c r="B30" s="27" t="s">
        <v>30</v>
      </c>
      <c r="C30" s="28">
        <v>34284</v>
      </c>
      <c r="D30" s="28">
        <v>34715</v>
      </c>
      <c r="E30" s="28">
        <v>43937</v>
      </c>
      <c r="F30" s="28">
        <v>48729</v>
      </c>
      <c r="H30" s="27"/>
      <c r="I30" s="28"/>
      <c r="J30" s="28"/>
      <c r="K30" s="28"/>
      <c r="L30" s="28"/>
      <c r="M30" s="28"/>
    </row>
    <row r="31" spans="2:13" x14ac:dyDescent="0.3">
      <c r="B31" s="27" t="s">
        <v>44</v>
      </c>
      <c r="C31" s="28">
        <v>22698</v>
      </c>
      <c r="D31" s="28">
        <v>25424</v>
      </c>
      <c r="E31" s="28">
        <v>30193</v>
      </c>
      <c r="F31" s="28">
        <v>31158</v>
      </c>
      <c r="H31" s="27"/>
      <c r="I31" s="28"/>
      <c r="J31" s="28"/>
      <c r="K31" s="28"/>
      <c r="L31" s="28"/>
      <c r="M31" s="28"/>
    </row>
    <row r="32" spans="2:13" x14ac:dyDescent="0.3">
      <c r="B32" s="27" t="s">
        <v>45</v>
      </c>
      <c r="C32" s="28">
        <v>0</v>
      </c>
      <c r="D32" s="28">
        <v>0</v>
      </c>
      <c r="E32" s="28">
        <v>0</v>
      </c>
      <c r="F32" s="28">
        <v>0</v>
      </c>
      <c r="H32" s="27"/>
      <c r="I32" s="28"/>
      <c r="J32" s="28"/>
      <c r="K32" s="28"/>
      <c r="L32" s="28"/>
      <c r="M32" s="28"/>
    </row>
    <row r="33" spans="2:13" x14ac:dyDescent="0.3">
      <c r="B33" s="27"/>
      <c r="C33" s="28"/>
      <c r="D33" s="28"/>
      <c r="E33" s="28"/>
      <c r="F33" s="28"/>
      <c r="H33" s="27"/>
      <c r="I33" s="26">
        <v>44651</v>
      </c>
      <c r="J33" s="26">
        <v>45016</v>
      </c>
      <c r="K33" s="26">
        <v>45382</v>
      </c>
      <c r="L33" s="26">
        <v>45747</v>
      </c>
      <c r="M33" s="27" t="s">
        <v>93</v>
      </c>
    </row>
    <row r="34" spans="2:13" x14ac:dyDescent="0.3">
      <c r="B34" s="27" t="s">
        <v>97</v>
      </c>
      <c r="C34" s="28">
        <f>C28-C19</f>
        <v>0</v>
      </c>
      <c r="D34" s="28">
        <f t="shared" ref="D34:F34" si="11">D28-D19</f>
        <v>0</v>
      </c>
      <c r="E34" s="28">
        <f t="shared" si="11"/>
        <v>0</v>
      </c>
      <c r="F34" s="28">
        <f t="shared" si="11"/>
        <v>0</v>
      </c>
      <c r="H34" s="27" t="s">
        <v>14</v>
      </c>
      <c r="I34" s="28">
        <v>22110</v>
      </c>
      <c r="J34" s="28">
        <v>24095</v>
      </c>
      <c r="K34" s="28">
        <v>26233</v>
      </c>
      <c r="L34" s="28">
        <v>26713</v>
      </c>
      <c r="M34" s="28"/>
    </row>
    <row r="35" spans="2:13" x14ac:dyDescent="0.3">
      <c r="B35" s="27"/>
      <c r="C35" s="28"/>
      <c r="D35" s="28"/>
      <c r="E35" s="28"/>
      <c r="F35" s="28"/>
      <c r="H35" s="27" t="s">
        <v>101</v>
      </c>
      <c r="I35" s="28">
        <v>13007.6</v>
      </c>
      <c r="J35" s="28">
        <v>14069.2</v>
      </c>
      <c r="K35" s="28">
        <v>19053.2</v>
      </c>
      <c r="L35" s="28">
        <v>17827.8</v>
      </c>
      <c r="M35" s="28"/>
    </row>
    <row r="36" spans="2:13" x14ac:dyDescent="0.3">
      <c r="B36" s="27"/>
      <c r="C36" s="28"/>
      <c r="D36" s="28"/>
      <c r="E36" s="28"/>
      <c r="F36" s="28"/>
      <c r="H36" s="27" t="s">
        <v>103</v>
      </c>
      <c r="I36" s="28">
        <f>I35/I34</f>
        <v>0.58831298055178649</v>
      </c>
      <c r="J36" s="28">
        <f t="shared" ref="J36:L36" si="12">J35/J34</f>
        <v>0.58390537455903713</v>
      </c>
      <c r="K36" s="28">
        <f t="shared" si="12"/>
        <v>0.72630656043914155</v>
      </c>
      <c r="L36" s="28">
        <f t="shared" si="12"/>
        <v>0.66738292217272488</v>
      </c>
      <c r="M36" s="28">
        <f>AVERAGE(I36:L36)</f>
        <v>0.64147695943067251</v>
      </c>
    </row>
    <row r="37" spans="2:13" x14ac:dyDescent="0.3">
      <c r="B37" s="27"/>
      <c r="C37" s="28"/>
      <c r="D37" s="28"/>
      <c r="E37" s="28"/>
      <c r="F37" s="28"/>
      <c r="H37" s="27"/>
      <c r="I37" s="28"/>
      <c r="J37" s="28"/>
      <c r="K37" s="28"/>
      <c r="L37" s="28"/>
      <c r="M37" s="28"/>
    </row>
    <row r="38" spans="2:13" x14ac:dyDescent="0.3">
      <c r="B38" s="27" t="s">
        <v>95</v>
      </c>
      <c r="C38" s="28">
        <f>SUM(C30:C32)</f>
        <v>56982</v>
      </c>
      <c r="D38" s="28">
        <f>SUM(D30:D32)</f>
        <v>60139</v>
      </c>
      <c r="E38" s="28">
        <f>SUM(E30:E32)</f>
        <v>74130</v>
      </c>
      <c r="F38" s="28">
        <f>SUM(F30:F32)</f>
        <v>79887</v>
      </c>
      <c r="H38" s="27"/>
      <c r="I38" s="28"/>
      <c r="J38" s="28"/>
      <c r="K38" s="28"/>
      <c r="L38" s="28"/>
      <c r="M38" s="28"/>
    </row>
    <row r="39" spans="2:13" x14ac:dyDescent="0.3">
      <c r="B39" s="27"/>
      <c r="C39" s="28"/>
      <c r="D39" s="28"/>
      <c r="E39" s="28"/>
      <c r="F39" s="28"/>
      <c r="H39" s="27"/>
      <c r="I39" s="26">
        <v>44651</v>
      </c>
      <c r="J39" s="26">
        <v>45016</v>
      </c>
      <c r="K39" s="26">
        <v>45382</v>
      </c>
      <c r="L39" s="26">
        <v>45747</v>
      </c>
      <c r="M39" s="28"/>
    </row>
    <row r="40" spans="2:13" x14ac:dyDescent="0.3">
      <c r="B40" s="27"/>
      <c r="C40" s="28"/>
      <c r="D40" s="28"/>
      <c r="E40" s="28"/>
      <c r="F40" s="28"/>
      <c r="H40" s="27" t="s">
        <v>102</v>
      </c>
      <c r="I40" s="28">
        <f>C24</f>
        <v>25800</v>
      </c>
      <c r="J40" s="28">
        <f t="shared" ref="J40:L40" si="13">D24</f>
        <v>29225</v>
      </c>
      <c r="K40" s="28">
        <f t="shared" si="13"/>
        <v>27622</v>
      </c>
      <c r="L40" s="28">
        <f t="shared" si="13"/>
        <v>30961</v>
      </c>
      <c r="M40" s="28"/>
    </row>
    <row r="41" spans="2:13" x14ac:dyDescent="0.3">
      <c r="B41" s="27"/>
      <c r="C41" s="28">
        <v>70189</v>
      </c>
      <c r="D41" s="28">
        <v>75605</v>
      </c>
      <c r="E41" s="28">
        <v>84822</v>
      </c>
      <c r="F41" s="28">
        <v>92479</v>
      </c>
      <c r="H41" s="27" t="s">
        <v>99</v>
      </c>
      <c r="I41" s="28"/>
      <c r="J41" s="28">
        <f>-I40</f>
        <v>-25800</v>
      </c>
      <c r="K41" s="28">
        <f t="shared" ref="K41:L41" si="14">-J40</f>
        <v>-29225</v>
      </c>
      <c r="L41" s="28">
        <f t="shared" si="14"/>
        <v>-27622</v>
      </c>
      <c r="M41" s="28"/>
    </row>
    <row r="42" spans="2:13" x14ac:dyDescent="0.3">
      <c r="B42" s="27" t="s">
        <v>96</v>
      </c>
      <c r="C42" s="28">
        <f>C41-C38</f>
        <v>13207</v>
      </c>
      <c r="D42" s="28">
        <f t="shared" ref="D42:F42" si="15">D41-D38</f>
        <v>15466</v>
      </c>
      <c r="E42" s="28">
        <f t="shared" si="15"/>
        <v>10692</v>
      </c>
      <c r="F42" s="28">
        <f t="shared" si="15"/>
        <v>12592</v>
      </c>
      <c r="H42" s="27" t="s">
        <v>105</v>
      </c>
      <c r="I42" s="28"/>
      <c r="J42" s="28">
        <f>C7</f>
        <v>3476</v>
      </c>
      <c r="K42" s="28">
        <f t="shared" ref="K42:L42" si="16">D7</f>
        <v>4225</v>
      </c>
      <c r="L42" s="28">
        <f t="shared" si="16"/>
        <v>4678</v>
      </c>
      <c r="M42" s="28"/>
    </row>
    <row r="43" spans="2:13" x14ac:dyDescent="0.3">
      <c r="H43" s="27" t="s">
        <v>104</v>
      </c>
      <c r="I43" s="28"/>
      <c r="J43" s="28">
        <f>SUM(J40:J42)</f>
        <v>6901</v>
      </c>
      <c r="K43" s="28">
        <f t="shared" ref="K43:L43" si="17">SUM(K40:K42)</f>
        <v>2622</v>
      </c>
      <c r="L43" s="28">
        <f t="shared" si="17"/>
        <v>8017</v>
      </c>
      <c r="M43" s="28"/>
    </row>
    <row r="44" spans="2:13" x14ac:dyDescent="0.3">
      <c r="H44" s="27" t="s">
        <v>106</v>
      </c>
      <c r="I44" s="28"/>
      <c r="J44" s="31">
        <f>J43/D3</f>
        <v>4.7020106699734956E-2</v>
      </c>
      <c r="K44" s="31">
        <f t="shared" ref="K44:L44" si="18">K43/E3</f>
        <v>1.7062536604412051E-2</v>
      </c>
      <c r="L44" s="31">
        <f t="shared" si="18"/>
        <v>4.9187066691208051E-2</v>
      </c>
      <c r="M44" s="31">
        <f>AVERAGE(J44:L44)</f>
        <v>3.7756569998451686E-2</v>
      </c>
    </row>
    <row r="45" spans="2:13" x14ac:dyDescent="0.3">
      <c r="H45" s="27"/>
      <c r="I45" s="28"/>
      <c r="J45" s="28"/>
      <c r="K45" s="28"/>
      <c r="L45" s="28"/>
      <c r="M45" s="28"/>
    </row>
  </sheetData>
  <pageMargins left="0.7" right="0.7" top="0.75" bottom="0.75" header="0.3" footer="0.3"/>
  <ignoredErrors>
    <ignoredError sqref="C19:F19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5B436-A524-4595-85D9-71BCABB3B646}">
  <dimension ref="B3:N54"/>
  <sheetViews>
    <sheetView showGridLines="0" topLeftCell="A25" workbookViewId="0">
      <selection activeCell="B3" sqref="B3:N50"/>
    </sheetView>
  </sheetViews>
  <sheetFormatPr defaultRowHeight="14.4" x14ac:dyDescent="0.3"/>
  <cols>
    <col min="2" max="2" width="21" bestFit="1" customWidth="1"/>
    <col min="8" max="8" width="4.21875" customWidth="1"/>
    <col min="9" max="9" width="19.5546875" bestFit="1" customWidth="1"/>
  </cols>
  <sheetData>
    <row r="3" spans="2:14" ht="23.4" x14ac:dyDescent="0.45">
      <c r="B3" s="90" t="s">
        <v>160</v>
      </c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</row>
    <row r="5" spans="2:14" ht="16.2" x14ac:dyDescent="0.35">
      <c r="B5" s="85" t="s">
        <v>161</v>
      </c>
      <c r="C5" s="85">
        <v>2025</v>
      </c>
      <c r="D5" s="85">
        <v>2026</v>
      </c>
      <c r="E5" s="85">
        <v>2027</v>
      </c>
      <c r="F5" s="85">
        <v>2028</v>
      </c>
      <c r="G5" s="85">
        <v>2029</v>
      </c>
      <c r="I5" s="42" t="s">
        <v>130</v>
      </c>
      <c r="J5" s="41"/>
      <c r="K5" s="41"/>
      <c r="L5" s="41"/>
      <c r="M5" s="41"/>
      <c r="N5" s="41"/>
    </row>
    <row r="6" spans="2:14" x14ac:dyDescent="0.3">
      <c r="B6" s="27" t="s">
        <v>6</v>
      </c>
      <c r="C6" s="28">
        <v>162990</v>
      </c>
      <c r="D6" s="33">
        <f>C6*1.1</f>
        <v>179289</v>
      </c>
      <c r="E6" s="33">
        <f t="shared" ref="E6:G6" si="0">D6*1.1</f>
        <v>197217.90000000002</v>
      </c>
      <c r="F6" s="33">
        <f t="shared" si="0"/>
        <v>216939.69000000003</v>
      </c>
      <c r="G6" s="33">
        <f t="shared" si="0"/>
        <v>238633.65900000004</v>
      </c>
      <c r="I6" s="25"/>
      <c r="J6" s="32">
        <v>2025</v>
      </c>
      <c r="K6" s="32">
        <v>2026</v>
      </c>
      <c r="L6" s="32">
        <v>2027</v>
      </c>
      <c r="M6" s="32">
        <v>2028</v>
      </c>
      <c r="N6" s="32">
        <v>2029</v>
      </c>
    </row>
    <row r="7" spans="2:14" x14ac:dyDescent="0.3">
      <c r="B7" s="27" t="s">
        <v>7</v>
      </c>
      <c r="C7" s="28">
        <v>123754</v>
      </c>
      <c r="D7" s="33">
        <f t="shared" ref="D7:G7" si="1">-D6*0.7</f>
        <v>-125502.29999999999</v>
      </c>
      <c r="E7" s="33">
        <f t="shared" si="1"/>
        <v>-138052.53</v>
      </c>
      <c r="F7" s="33">
        <f t="shared" si="1"/>
        <v>-151857.78300000002</v>
      </c>
      <c r="G7" s="33">
        <f t="shared" si="1"/>
        <v>-167043.56130000003</v>
      </c>
      <c r="I7" s="86" t="s">
        <v>98</v>
      </c>
      <c r="J7" s="87"/>
      <c r="K7" s="87"/>
      <c r="L7" s="87"/>
      <c r="M7" s="87"/>
      <c r="N7" s="87"/>
    </row>
    <row r="8" spans="2:14" x14ac:dyDescent="0.3">
      <c r="B8" s="27" t="s">
        <v>8</v>
      </c>
      <c r="C8" s="28">
        <v>39236</v>
      </c>
      <c r="D8" s="33">
        <f t="shared" ref="D8:G8" si="2">SUM(D6:D7)</f>
        <v>53786.700000000012</v>
      </c>
      <c r="E8" s="33">
        <f t="shared" si="2"/>
        <v>59165.370000000024</v>
      </c>
      <c r="F8" s="33">
        <f t="shared" si="2"/>
        <v>65081.907000000007</v>
      </c>
      <c r="G8" s="33">
        <f t="shared" si="2"/>
        <v>71590.097700000013</v>
      </c>
      <c r="I8" s="86" t="s">
        <v>99</v>
      </c>
      <c r="J8" s="33"/>
      <c r="K8" s="33">
        <f>J11</f>
        <v>93745</v>
      </c>
      <c r="L8" s="33">
        <f t="shared" ref="L8:N8" si="3">K11</f>
        <v>106292.36137600002</v>
      </c>
      <c r="M8" s="33">
        <f t="shared" si="3"/>
        <v>120094.45888960001</v>
      </c>
      <c r="N8" s="33">
        <f t="shared" si="3"/>
        <v>135276.76615456</v>
      </c>
    </row>
    <row r="9" spans="2:14" x14ac:dyDescent="0.3">
      <c r="B9" s="27" t="s">
        <v>9</v>
      </c>
      <c r="C9" s="28">
        <v>3600</v>
      </c>
      <c r="D9" s="33"/>
      <c r="E9" s="33"/>
      <c r="F9" s="33"/>
      <c r="G9" s="33"/>
      <c r="I9" s="86" t="s">
        <v>100</v>
      </c>
      <c r="J9" s="33"/>
      <c r="K9" s="33">
        <f>D14</f>
        <v>34853.781600000009</v>
      </c>
      <c r="L9" s="33">
        <f>E14</f>
        <v>38339.159760000017</v>
      </c>
      <c r="M9" s="33">
        <f>F14</f>
        <v>42173.075735999999</v>
      </c>
      <c r="N9" s="33">
        <f>G14</f>
        <v>46390.383309600002</v>
      </c>
    </row>
    <row r="10" spans="2:14" x14ac:dyDescent="0.3">
      <c r="B10" s="27" t="s">
        <v>10</v>
      </c>
      <c r="C10" s="28">
        <v>4812</v>
      </c>
      <c r="D10" s="33">
        <f>-D6*0.03</f>
        <v>-5378.67</v>
      </c>
      <c r="E10" s="33">
        <f t="shared" ref="E10:G10" si="4">-E6*0.03</f>
        <v>-5916.5370000000003</v>
      </c>
      <c r="F10" s="33">
        <f t="shared" si="4"/>
        <v>-6508.190700000001</v>
      </c>
      <c r="G10" s="33">
        <f t="shared" si="4"/>
        <v>-7159.0097700000015</v>
      </c>
      <c r="I10" s="86" t="s">
        <v>101</v>
      </c>
      <c r="J10" s="33"/>
      <c r="K10" s="33">
        <f>-K9*0.64</f>
        <v>-22306.420224000005</v>
      </c>
      <c r="L10" s="33">
        <f t="shared" ref="L10:N10" si="5">-L9*0.64</f>
        <v>-24537.062246400012</v>
      </c>
      <c r="M10" s="33">
        <f t="shared" si="5"/>
        <v>-26990.768471039999</v>
      </c>
      <c r="N10" s="33">
        <f t="shared" si="5"/>
        <v>-29689.845318144002</v>
      </c>
    </row>
    <row r="11" spans="2:14" ht="15" thickBot="1" x14ac:dyDescent="0.35">
      <c r="B11" s="27" t="s">
        <v>11</v>
      </c>
      <c r="C11" s="28">
        <v>416</v>
      </c>
      <c r="D11" s="33"/>
      <c r="E11" s="33"/>
      <c r="F11" s="33"/>
      <c r="G11" s="33"/>
      <c r="I11" s="88" t="s">
        <v>102</v>
      </c>
      <c r="J11" s="83">
        <v>93745</v>
      </c>
      <c r="K11" s="83">
        <f>SUM(K8:K10)</f>
        <v>106292.36137600002</v>
      </c>
      <c r="L11" s="83">
        <f t="shared" ref="L11" si="6">SUM(L8:L10)</f>
        <v>120094.45888960001</v>
      </c>
      <c r="M11" s="83">
        <f>SUM(M8:M10)</f>
        <v>135276.76615456</v>
      </c>
      <c r="N11" s="83">
        <f>SUM(N8:N10)</f>
        <v>151977.30414601599</v>
      </c>
    </row>
    <row r="12" spans="2:14" x14ac:dyDescent="0.3">
      <c r="B12" s="27" t="s">
        <v>12</v>
      </c>
      <c r="C12" s="28">
        <v>37608</v>
      </c>
      <c r="D12" s="33">
        <f>SUM(D8:D11)</f>
        <v>48408.030000000013</v>
      </c>
      <c r="E12" s="33">
        <f t="shared" ref="E12:G12" si="7">SUM(E8:E11)</f>
        <v>53248.833000000028</v>
      </c>
      <c r="F12" s="33">
        <f t="shared" si="7"/>
        <v>58573.716300000007</v>
      </c>
      <c r="G12" s="33">
        <f t="shared" si="7"/>
        <v>64431.087930000009</v>
      </c>
      <c r="I12" s="25"/>
      <c r="J12" s="25"/>
      <c r="K12" s="25"/>
      <c r="L12" s="25"/>
      <c r="M12" s="25"/>
      <c r="N12" s="25"/>
    </row>
    <row r="13" spans="2:14" x14ac:dyDescent="0.3">
      <c r="B13" s="27" t="s">
        <v>13</v>
      </c>
      <c r="C13" s="28">
        <v>10858</v>
      </c>
      <c r="D13" s="33">
        <f>-D12*0.28</f>
        <v>-13554.248400000006</v>
      </c>
      <c r="E13" s="33">
        <f t="shared" ref="E13:G13" si="8">-E12*0.28</f>
        <v>-14909.673240000009</v>
      </c>
      <c r="F13" s="33">
        <f t="shared" si="8"/>
        <v>-16400.640564000005</v>
      </c>
      <c r="G13" s="33">
        <f t="shared" si="8"/>
        <v>-18040.704620400003</v>
      </c>
      <c r="I13" s="25"/>
      <c r="J13" s="25"/>
      <c r="K13" s="25"/>
      <c r="L13" s="25"/>
      <c r="M13" s="25"/>
      <c r="N13" s="25"/>
    </row>
    <row r="14" spans="2:14" ht="15" thickBot="1" x14ac:dyDescent="0.35">
      <c r="B14" s="81" t="s">
        <v>14</v>
      </c>
      <c r="C14" s="82">
        <v>26713</v>
      </c>
      <c r="D14" s="83">
        <f>SUM(D12:D13)</f>
        <v>34853.781600000009</v>
      </c>
      <c r="E14" s="83">
        <f t="shared" ref="E14:G14" si="9">SUM(E12:E13)</f>
        <v>38339.159760000017</v>
      </c>
      <c r="F14" s="83">
        <f t="shared" si="9"/>
        <v>42173.075735999999</v>
      </c>
      <c r="G14" s="83">
        <f t="shared" si="9"/>
        <v>46390.383309600002</v>
      </c>
      <c r="I14" s="25"/>
      <c r="J14" s="25"/>
      <c r="K14" s="25"/>
      <c r="L14" s="25"/>
      <c r="M14" s="25"/>
      <c r="N14" s="25"/>
    </row>
    <row r="15" spans="2:14" x14ac:dyDescent="0.3">
      <c r="B15" s="25"/>
      <c r="C15" s="25"/>
      <c r="D15" s="25"/>
      <c r="E15" s="25"/>
      <c r="F15" s="25"/>
      <c r="G15" s="25"/>
      <c r="I15" s="32" t="s">
        <v>27</v>
      </c>
      <c r="J15" s="32">
        <v>2025</v>
      </c>
      <c r="K15" s="32">
        <v>2026</v>
      </c>
      <c r="L15" s="32">
        <v>2027</v>
      </c>
      <c r="M15" s="32">
        <v>2028</v>
      </c>
      <c r="N15" s="32">
        <v>2029</v>
      </c>
    </row>
    <row r="16" spans="2:14" x14ac:dyDescent="0.3">
      <c r="B16" s="40"/>
      <c r="C16" s="40"/>
      <c r="D16" s="40"/>
      <c r="E16" s="40"/>
      <c r="F16" s="40"/>
      <c r="G16" s="40"/>
      <c r="I16" s="25"/>
      <c r="J16" s="25"/>
      <c r="K16" s="25"/>
      <c r="L16" s="25"/>
      <c r="M16" s="25"/>
      <c r="N16" s="25"/>
    </row>
    <row r="17" spans="2:14" ht="16.2" x14ac:dyDescent="0.35">
      <c r="B17" s="85" t="s">
        <v>162</v>
      </c>
      <c r="C17" s="85">
        <v>2025</v>
      </c>
      <c r="D17" s="85">
        <v>2026</v>
      </c>
      <c r="E17" s="85">
        <v>2027</v>
      </c>
      <c r="F17" s="85">
        <v>2028</v>
      </c>
      <c r="G17" s="85">
        <v>2029</v>
      </c>
      <c r="I17" s="32" t="s">
        <v>108</v>
      </c>
      <c r="J17" s="33"/>
      <c r="K17" s="33">
        <f>J20</f>
        <v>30961</v>
      </c>
      <c r="L17" s="33">
        <f t="shared" ref="L17:N17" si="10">K20</f>
        <v>32753.89</v>
      </c>
      <c r="M17" s="33">
        <f t="shared" si="10"/>
        <v>34726.069000000003</v>
      </c>
      <c r="N17" s="33">
        <f t="shared" si="10"/>
        <v>36895.465900000003</v>
      </c>
    </row>
    <row r="18" spans="2:14" x14ac:dyDescent="0.3">
      <c r="B18" s="27" t="s">
        <v>24</v>
      </c>
      <c r="C18" s="34">
        <v>2073</v>
      </c>
      <c r="D18" s="35">
        <f t="shared" ref="D18:G18" si="11">C18</f>
        <v>2073</v>
      </c>
      <c r="E18" s="35">
        <f t="shared" si="11"/>
        <v>2073</v>
      </c>
      <c r="F18" s="35">
        <f t="shared" si="11"/>
        <v>2073</v>
      </c>
      <c r="G18" s="35">
        <f t="shared" si="11"/>
        <v>2073</v>
      </c>
      <c r="I18" s="32" t="s">
        <v>107</v>
      </c>
      <c r="J18" s="33"/>
      <c r="K18" s="33">
        <f>D6*0.04</f>
        <v>7171.56</v>
      </c>
      <c r="L18" s="33">
        <f>E6*0.04</f>
        <v>7888.7160000000013</v>
      </c>
      <c r="M18" s="33">
        <f>F6*0.04</f>
        <v>8677.5876000000007</v>
      </c>
      <c r="N18" s="33">
        <f>G6*0.04</f>
        <v>9545.3463600000014</v>
      </c>
    </row>
    <row r="19" spans="2:14" x14ac:dyDescent="0.3">
      <c r="B19" s="27" t="s">
        <v>25</v>
      </c>
      <c r="C19" s="34">
        <v>93745</v>
      </c>
      <c r="D19" s="35">
        <f>K11</f>
        <v>106292.36137600002</v>
      </c>
      <c r="E19" s="35">
        <f>L11</f>
        <v>120094.45888960001</v>
      </c>
      <c r="F19" s="35">
        <f>M11</f>
        <v>135276.76615456</v>
      </c>
      <c r="G19" s="35">
        <f>N11</f>
        <v>151977.30414601599</v>
      </c>
      <c r="I19" s="32" t="s">
        <v>10</v>
      </c>
      <c r="J19" s="33"/>
      <c r="K19" s="33">
        <f>D10</f>
        <v>-5378.67</v>
      </c>
      <c r="L19" s="33">
        <f>E10</f>
        <v>-5916.5370000000003</v>
      </c>
      <c r="M19" s="33">
        <f>F10</f>
        <v>-6508.190700000001</v>
      </c>
      <c r="N19" s="33">
        <f>G10</f>
        <v>-7159.0097700000015</v>
      </c>
    </row>
    <row r="20" spans="2:14" ht="15" thickBot="1" x14ac:dyDescent="0.35">
      <c r="B20" s="27" t="s">
        <v>71</v>
      </c>
      <c r="C20" s="34">
        <v>8227</v>
      </c>
      <c r="D20" s="35">
        <f>C20*1.18</f>
        <v>9707.8599999999988</v>
      </c>
      <c r="E20" s="35">
        <f t="shared" ref="E20:G20" si="12">D20*1.18</f>
        <v>11455.274799999997</v>
      </c>
      <c r="F20" s="35">
        <f t="shared" si="12"/>
        <v>13517.224263999997</v>
      </c>
      <c r="G20" s="35">
        <f t="shared" si="12"/>
        <v>15950.324631519996</v>
      </c>
      <c r="I20" s="89" t="s">
        <v>109</v>
      </c>
      <c r="J20" s="83">
        <v>30961</v>
      </c>
      <c r="K20" s="83">
        <f>SUM(K17:K19)</f>
        <v>32753.89</v>
      </c>
      <c r="L20" s="83">
        <f>SUM(L17:L19)</f>
        <v>34726.069000000003</v>
      </c>
      <c r="M20" s="83">
        <f t="shared" ref="M20:N20" si="13">SUM(M17:M19)</f>
        <v>36895.465900000003</v>
      </c>
      <c r="N20" s="83">
        <f t="shared" si="13"/>
        <v>39281.802490000002</v>
      </c>
    </row>
    <row r="21" spans="2:14" x14ac:dyDescent="0.3">
      <c r="B21" s="27" t="s">
        <v>72</v>
      </c>
      <c r="C21" s="34">
        <v>43750</v>
      </c>
      <c r="D21" s="35">
        <f>D6*0.28</f>
        <v>50200.920000000006</v>
      </c>
      <c r="E21" s="35">
        <f t="shared" ref="E21:G21" si="14">E6*0.28</f>
        <v>55221.01200000001</v>
      </c>
      <c r="F21" s="35">
        <f t="shared" si="14"/>
        <v>60743.113200000014</v>
      </c>
      <c r="G21" s="35">
        <f t="shared" si="14"/>
        <v>66817.424520000015</v>
      </c>
    </row>
    <row r="22" spans="2:14" x14ac:dyDescent="0.3">
      <c r="B22" s="27" t="s">
        <v>26</v>
      </c>
      <c r="C22" s="34">
        <f>SUM(C18:C21)</f>
        <v>147795</v>
      </c>
      <c r="D22" s="35">
        <f>SUM(D18:D21)</f>
        <v>168274.14137600001</v>
      </c>
      <c r="E22" s="35">
        <f t="shared" ref="E22:G22" si="15">SUM(E18:E21)</f>
        <v>188843.74568960001</v>
      </c>
      <c r="F22" s="35">
        <f t="shared" si="15"/>
        <v>211610.10361856001</v>
      </c>
      <c r="G22" s="35">
        <f t="shared" si="15"/>
        <v>236818.05329753598</v>
      </c>
    </row>
    <row r="23" spans="2:14" x14ac:dyDescent="0.3">
      <c r="B23" s="27"/>
      <c r="C23" s="34"/>
      <c r="D23" s="35"/>
      <c r="E23" s="35"/>
      <c r="F23" s="35"/>
      <c r="G23" s="35"/>
      <c r="I23" s="36" t="s">
        <v>129</v>
      </c>
      <c r="J23" s="32" t="s">
        <v>93</v>
      </c>
    </row>
    <row r="24" spans="2:14" x14ac:dyDescent="0.3">
      <c r="B24" s="27"/>
      <c r="C24" s="34"/>
      <c r="D24" s="35"/>
      <c r="E24" s="35"/>
      <c r="F24" s="35"/>
      <c r="G24" s="35"/>
      <c r="I24" s="32" t="s">
        <v>6</v>
      </c>
      <c r="J24" s="28">
        <v>0.1</v>
      </c>
    </row>
    <row r="25" spans="2:14" x14ac:dyDescent="0.3">
      <c r="B25" s="27" t="s">
        <v>94</v>
      </c>
      <c r="C25" s="34">
        <v>12592</v>
      </c>
      <c r="D25" s="35">
        <f>D54</f>
        <v>28665.741375999998</v>
      </c>
      <c r="E25" s="35">
        <f t="shared" ref="E25:G25" si="16">E54</f>
        <v>37087.454089600003</v>
      </c>
      <c r="F25" s="35">
        <f t="shared" si="16"/>
        <v>46306.819562559998</v>
      </c>
      <c r="G25" s="35">
        <f t="shared" si="16"/>
        <v>56310.259142175993</v>
      </c>
      <c r="I25" s="32" t="s">
        <v>122</v>
      </c>
      <c r="J25" s="28">
        <v>0.76</v>
      </c>
    </row>
    <row r="26" spans="2:14" x14ac:dyDescent="0.3">
      <c r="B26" s="27" t="s">
        <v>27</v>
      </c>
      <c r="C26" s="34">
        <v>30961</v>
      </c>
      <c r="D26" s="35">
        <f>K20</f>
        <v>32753.89</v>
      </c>
      <c r="E26" s="35">
        <f>L20</f>
        <v>34726.069000000003</v>
      </c>
      <c r="F26" s="35">
        <f>M20</f>
        <v>36895.465900000003</v>
      </c>
      <c r="G26" s="35">
        <f>N20</f>
        <v>39281.802490000002</v>
      </c>
      <c r="I26" s="32" t="s">
        <v>123</v>
      </c>
      <c r="J26" s="28">
        <v>0.03</v>
      </c>
    </row>
    <row r="27" spans="2:14" x14ac:dyDescent="0.3">
      <c r="B27" s="27" t="s">
        <v>28</v>
      </c>
      <c r="C27" s="34">
        <v>814</v>
      </c>
      <c r="D27" s="35">
        <f t="shared" ref="D27:G27" si="17">C27*1.5</f>
        <v>1221</v>
      </c>
      <c r="E27" s="35">
        <f t="shared" si="17"/>
        <v>1831.5</v>
      </c>
      <c r="F27" s="35">
        <f t="shared" si="17"/>
        <v>2747.25</v>
      </c>
      <c r="G27" s="35">
        <f t="shared" si="17"/>
        <v>4120.875</v>
      </c>
      <c r="I27" s="32" t="s">
        <v>13</v>
      </c>
      <c r="J27" s="28">
        <v>0.28000000000000003</v>
      </c>
    </row>
    <row r="28" spans="2:14" x14ac:dyDescent="0.3">
      <c r="B28" s="27" t="s">
        <v>29</v>
      </c>
      <c r="C28" s="34">
        <v>23541</v>
      </c>
      <c r="D28" s="35">
        <f>C28*1.06</f>
        <v>24953.460000000003</v>
      </c>
      <c r="E28" s="35">
        <f t="shared" ref="E28:G28" si="18">D28*1.06</f>
        <v>26450.667600000004</v>
      </c>
      <c r="F28" s="35">
        <f t="shared" si="18"/>
        <v>28037.707656000006</v>
      </c>
      <c r="G28" s="35">
        <f t="shared" si="18"/>
        <v>29719.970115360007</v>
      </c>
      <c r="I28" s="32"/>
      <c r="J28" s="28"/>
    </row>
    <row r="29" spans="2:14" x14ac:dyDescent="0.3">
      <c r="B29" s="27" t="s">
        <v>73</v>
      </c>
      <c r="C29" s="34">
        <v>79887</v>
      </c>
      <c r="D29" s="35">
        <f>D6*0.45</f>
        <v>80680.05</v>
      </c>
      <c r="E29" s="35">
        <f t="shared" ref="E29:G29" si="19">E6*0.45</f>
        <v>88748.055000000008</v>
      </c>
      <c r="F29" s="35">
        <f t="shared" si="19"/>
        <v>97622.86050000001</v>
      </c>
      <c r="G29" s="35">
        <f t="shared" si="19"/>
        <v>107385.14655000002</v>
      </c>
      <c r="I29" s="32" t="s">
        <v>124</v>
      </c>
      <c r="J29" s="28">
        <v>2073</v>
      </c>
    </row>
    <row r="30" spans="2:14" x14ac:dyDescent="0.3">
      <c r="B30" s="27" t="s">
        <v>26</v>
      </c>
      <c r="C30" s="34">
        <f>SUM(C25:C29)</f>
        <v>147795</v>
      </c>
      <c r="D30" s="35">
        <f>SUM(D25:D29)</f>
        <v>168274.14137600001</v>
      </c>
      <c r="E30" s="35">
        <f t="shared" ref="E30:G30" si="20">SUM(E25:E29)</f>
        <v>188843.74568960001</v>
      </c>
      <c r="F30" s="35">
        <f t="shared" si="20"/>
        <v>211610.10361856001</v>
      </c>
      <c r="G30" s="35">
        <f t="shared" si="20"/>
        <v>236818.05329753601</v>
      </c>
      <c r="I30" s="32" t="s">
        <v>117</v>
      </c>
      <c r="J30" s="28">
        <v>0.18</v>
      </c>
    </row>
    <row r="31" spans="2:14" x14ac:dyDescent="0.3">
      <c r="B31" s="25"/>
      <c r="C31" s="25"/>
      <c r="D31" s="25"/>
      <c r="E31" s="25"/>
      <c r="F31" s="25"/>
      <c r="G31" s="25"/>
      <c r="I31" s="32" t="s">
        <v>125</v>
      </c>
      <c r="J31" s="28">
        <v>0.28000000000000003</v>
      </c>
    </row>
    <row r="32" spans="2:14" x14ac:dyDescent="0.3">
      <c r="B32" s="25"/>
      <c r="C32" s="25"/>
      <c r="D32" s="25"/>
      <c r="E32" s="25"/>
      <c r="F32" s="25"/>
      <c r="G32" s="25"/>
      <c r="I32" s="32" t="s">
        <v>128</v>
      </c>
      <c r="J32" s="28">
        <v>0.64</v>
      </c>
    </row>
    <row r="33" spans="2:10" ht="15.6" x14ac:dyDescent="0.3">
      <c r="B33" s="84" t="s">
        <v>97</v>
      </c>
      <c r="C33" s="84">
        <f>C22-C30</f>
        <v>0</v>
      </c>
      <c r="D33" s="84">
        <f t="shared" ref="D33:G33" si="21">D22-D30</f>
        <v>0</v>
      </c>
      <c r="E33" s="84">
        <f t="shared" si="21"/>
        <v>0</v>
      </c>
      <c r="F33" s="84">
        <f t="shared" si="21"/>
        <v>0</v>
      </c>
      <c r="G33" s="84">
        <f t="shared" si="21"/>
        <v>0</v>
      </c>
      <c r="I33" s="32"/>
      <c r="J33" s="28"/>
    </row>
    <row r="34" spans="2:10" x14ac:dyDescent="0.3">
      <c r="B34" s="25"/>
      <c r="C34" s="25"/>
      <c r="D34" s="25"/>
      <c r="E34" s="25"/>
      <c r="F34" s="25"/>
      <c r="G34" s="25"/>
      <c r="I34" s="32" t="s">
        <v>115</v>
      </c>
      <c r="J34" s="28">
        <v>0.05</v>
      </c>
    </row>
    <row r="35" spans="2:10" x14ac:dyDescent="0.3">
      <c r="B35" s="40"/>
      <c r="C35" s="40"/>
      <c r="D35" s="40"/>
      <c r="E35" s="40"/>
      <c r="F35" s="40"/>
      <c r="G35" s="40"/>
      <c r="I35" s="32" t="s">
        <v>29</v>
      </c>
      <c r="J35" s="28">
        <v>0.06</v>
      </c>
    </row>
    <row r="36" spans="2:10" ht="16.2" x14ac:dyDescent="0.35">
      <c r="B36" s="85" t="s">
        <v>110</v>
      </c>
      <c r="C36" s="85">
        <v>2025</v>
      </c>
      <c r="D36" s="85">
        <v>2026</v>
      </c>
      <c r="E36" s="85">
        <v>2027</v>
      </c>
      <c r="F36" s="85">
        <v>2028</v>
      </c>
      <c r="G36" s="85">
        <v>2029</v>
      </c>
      <c r="I36" s="32" t="s">
        <v>126</v>
      </c>
      <c r="J36" s="28">
        <v>0.45</v>
      </c>
    </row>
    <row r="37" spans="2:10" x14ac:dyDescent="0.3">
      <c r="B37" s="27" t="s">
        <v>111</v>
      </c>
      <c r="C37" s="33"/>
      <c r="D37" s="33">
        <f>D14</f>
        <v>34853.781600000009</v>
      </c>
      <c r="E37" s="33">
        <f t="shared" ref="E37:G37" si="22">E14</f>
        <v>38339.159760000017</v>
      </c>
      <c r="F37" s="33">
        <f t="shared" si="22"/>
        <v>42173.075735999999</v>
      </c>
      <c r="G37" s="33">
        <f t="shared" si="22"/>
        <v>46390.383309600002</v>
      </c>
      <c r="I37" s="32" t="s">
        <v>127</v>
      </c>
      <c r="J37" s="28">
        <v>0.04</v>
      </c>
    </row>
    <row r="38" spans="2:10" x14ac:dyDescent="0.3">
      <c r="B38" s="27" t="s">
        <v>105</v>
      </c>
      <c r="C38" s="33"/>
      <c r="D38" s="33">
        <f>-D10</f>
        <v>5378.67</v>
      </c>
      <c r="E38" s="33">
        <f t="shared" ref="E38:G38" si="23">-E10</f>
        <v>5916.5370000000003</v>
      </c>
      <c r="F38" s="33">
        <f t="shared" si="23"/>
        <v>6508.190700000001</v>
      </c>
      <c r="G38" s="33">
        <f t="shared" si="23"/>
        <v>7159.0097700000015</v>
      </c>
    </row>
    <row r="39" spans="2:10" x14ac:dyDescent="0.3">
      <c r="B39" s="27" t="s">
        <v>112</v>
      </c>
      <c r="C39" s="33"/>
      <c r="D39" s="33">
        <f>C29-D29</f>
        <v>-793.05000000000291</v>
      </c>
      <c r="E39" s="33">
        <f t="shared" ref="E39:G39" si="24">D29-E29</f>
        <v>-8068.0050000000047</v>
      </c>
      <c r="F39" s="33">
        <f t="shared" si="24"/>
        <v>-8874.8055000000022</v>
      </c>
      <c r="G39" s="33">
        <f t="shared" si="24"/>
        <v>-9762.2860500000097</v>
      </c>
    </row>
    <row r="40" spans="2:10" x14ac:dyDescent="0.3">
      <c r="B40" s="27" t="s">
        <v>113</v>
      </c>
      <c r="C40" s="33"/>
      <c r="D40" s="33">
        <f>D21-C21</f>
        <v>6450.9200000000055</v>
      </c>
      <c r="E40" s="33">
        <f t="shared" ref="E40:F40" si="25">E21-D21</f>
        <v>5020.0920000000042</v>
      </c>
      <c r="F40" s="33">
        <f t="shared" si="25"/>
        <v>5522.1012000000046</v>
      </c>
      <c r="G40" s="33">
        <f>G21-F21</f>
        <v>6074.3113200000007</v>
      </c>
    </row>
    <row r="41" spans="2:10" ht="15" thickBot="1" x14ac:dyDescent="0.35">
      <c r="B41" s="81" t="s">
        <v>114</v>
      </c>
      <c r="C41" s="83"/>
      <c r="D41" s="83">
        <f>SUM(D37:D40)</f>
        <v>45890.32160000001</v>
      </c>
      <c r="E41" s="83">
        <f t="shared" ref="E41:G41" si="26">SUM(E37:E40)</f>
        <v>41207.78376000002</v>
      </c>
      <c r="F41" s="83">
        <f t="shared" si="26"/>
        <v>45328.562136</v>
      </c>
      <c r="G41" s="83">
        <f t="shared" si="26"/>
        <v>49861.418349599997</v>
      </c>
    </row>
    <row r="42" spans="2:10" x14ac:dyDescent="0.3">
      <c r="B42" s="25"/>
      <c r="C42" s="33"/>
      <c r="D42" s="33"/>
      <c r="E42" s="33"/>
      <c r="F42" s="33"/>
      <c r="G42" s="33"/>
    </row>
    <row r="43" spans="2:10" x14ac:dyDescent="0.3">
      <c r="B43" s="27" t="s">
        <v>104</v>
      </c>
      <c r="C43" s="33"/>
      <c r="D43" s="33">
        <f>-K18</f>
        <v>-7171.56</v>
      </c>
      <c r="E43" s="33">
        <f>-L18</f>
        <v>-7888.7160000000013</v>
      </c>
      <c r="F43" s="33">
        <f>-M18</f>
        <v>-8677.5876000000007</v>
      </c>
      <c r="G43" s="33">
        <f>-N18</f>
        <v>-9545.3463600000014</v>
      </c>
    </row>
    <row r="44" spans="2:10" x14ac:dyDescent="0.3">
      <c r="B44" s="27" t="s">
        <v>115</v>
      </c>
      <c r="C44" s="33"/>
      <c r="D44" s="33">
        <f>C27-D27</f>
        <v>-407</v>
      </c>
      <c r="E44" s="33">
        <f t="shared" ref="E44:G44" si="27">D27-E27</f>
        <v>-610.5</v>
      </c>
      <c r="F44" s="33">
        <f t="shared" si="27"/>
        <v>-915.75</v>
      </c>
      <c r="G44" s="33">
        <f t="shared" si="27"/>
        <v>-1373.625</v>
      </c>
    </row>
    <row r="45" spans="2:10" x14ac:dyDescent="0.3">
      <c r="B45" s="27" t="s">
        <v>29</v>
      </c>
      <c r="C45" s="33"/>
      <c r="D45" s="33">
        <f>C28-D28</f>
        <v>-1412.4600000000028</v>
      </c>
      <c r="E45" s="33">
        <f t="shared" ref="E45:G45" si="28">D28-E28</f>
        <v>-1497.2076000000015</v>
      </c>
      <c r="F45" s="33">
        <f t="shared" si="28"/>
        <v>-1587.0400560000016</v>
      </c>
      <c r="G45" s="33">
        <f t="shared" si="28"/>
        <v>-1682.2624593600012</v>
      </c>
    </row>
    <row r="46" spans="2:10" ht="15" thickBot="1" x14ac:dyDescent="0.35">
      <c r="B46" s="81" t="s">
        <v>116</v>
      </c>
      <c r="C46" s="83"/>
      <c r="D46" s="83">
        <f>SUM(D43:D45)</f>
        <v>-8991.0200000000041</v>
      </c>
      <c r="E46" s="83">
        <f t="shared" ref="E46:G46" si="29">SUM(E43:E45)</f>
        <v>-9996.4236000000019</v>
      </c>
      <c r="F46" s="83">
        <f t="shared" si="29"/>
        <v>-11180.377656000002</v>
      </c>
      <c r="G46" s="83">
        <f t="shared" si="29"/>
        <v>-12601.233819360003</v>
      </c>
    </row>
    <row r="47" spans="2:10" x14ac:dyDescent="0.3">
      <c r="B47" s="25"/>
      <c r="C47" s="33"/>
      <c r="D47" s="33"/>
      <c r="E47" s="33"/>
      <c r="F47" s="33"/>
      <c r="G47" s="33"/>
    </row>
    <row r="48" spans="2:10" x14ac:dyDescent="0.3">
      <c r="B48" s="27" t="s">
        <v>117</v>
      </c>
      <c r="C48" s="33"/>
      <c r="D48" s="33">
        <f>D20-C20</f>
        <v>1480.8599999999988</v>
      </c>
      <c r="E48" s="33">
        <f t="shared" ref="E48:G48" si="30">E20-D20</f>
        <v>1747.4147999999986</v>
      </c>
      <c r="F48" s="33">
        <f t="shared" si="30"/>
        <v>2061.9494639999994</v>
      </c>
      <c r="G48" s="33">
        <f t="shared" si="30"/>
        <v>2433.1003675199991</v>
      </c>
    </row>
    <row r="49" spans="2:7" x14ac:dyDescent="0.3">
      <c r="B49" s="27" t="s">
        <v>101</v>
      </c>
      <c r="C49" s="33"/>
      <c r="D49" s="33">
        <f>K10</f>
        <v>-22306.420224000005</v>
      </c>
      <c r="E49" s="33">
        <f>L10</f>
        <v>-24537.062246400012</v>
      </c>
      <c r="F49" s="33">
        <f>M10</f>
        <v>-26990.768471039999</v>
      </c>
      <c r="G49" s="33">
        <f>N10</f>
        <v>-29689.845318144002</v>
      </c>
    </row>
    <row r="50" spans="2:7" ht="15" thickBot="1" x14ac:dyDescent="0.35">
      <c r="B50" s="81" t="s">
        <v>118</v>
      </c>
      <c r="C50" s="83"/>
      <c r="D50" s="83">
        <f>SUM(D48:D49)</f>
        <v>-20825.560224000008</v>
      </c>
      <c r="E50" s="83">
        <f>SUM(E48:E49)</f>
        <v>-22789.647446400013</v>
      </c>
      <c r="F50" s="83">
        <f t="shared" ref="F50:G50" si="31">SUM(F48:F49)</f>
        <v>-24928.819007040001</v>
      </c>
      <c r="G50" s="83">
        <f t="shared" si="31"/>
        <v>-27256.744950624001</v>
      </c>
    </row>
    <row r="51" spans="2:7" x14ac:dyDescent="0.3">
      <c r="B51" s="25"/>
      <c r="C51" s="33"/>
      <c r="D51" s="33"/>
      <c r="E51" s="33"/>
      <c r="F51" s="33"/>
      <c r="G51" s="33"/>
    </row>
    <row r="52" spans="2:7" x14ac:dyDescent="0.3">
      <c r="B52" s="27" t="s">
        <v>119</v>
      </c>
      <c r="C52" s="33"/>
      <c r="D52" s="33">
        <f>SUM(D41,D46,D50)</f>
        <v>16073.741375999998</v>
      </c>
      <c r="E52" s="33">
        <f t="shared" ref="E52:G52" si="32">SUM(E41,E46,E50)</f>
        <v>8421.7127136000054</v>
      </c>
      <c r="F52" s="33">
        <f t="shared" si="32"/>
        <v>9219.3654729599948</v>
      </c>
      <c r="G52" s="33">
        <f t="shared" si="32"/>
        <v>10003.439579615995</v>
      </c>
    </row>
    <row r="53" spans="2:7" x14ac:dyDescent="0.3">
      <c r="B53" s="27" t="s">
        <v>120</v>
      </c>
      <c r="C53" s="33"/>
      <c r="D53" s="33">
        <f>C54</f>
        <v>12592</v>
      </c>
      <c r="E53" s="33">
        <f t="shared" ref="E53:G53" si="33">D54</f>
        <v>28665.741375999998</v>
      </c>
      <c r="F53" s="33">
        <f t="shared" si="33"/>
        <v>37087.454089600003</v>
      </c>
      <c r="G53" s="33">
        <f t="shared" si="33"/>
        <v>46306.819562559998</v>
      </c>
    </row>
    <row r="54" spans="2:7" ht="15" thickBot="1" x14ac:dyDescent="0.35">
      <c r="B54" s="81" t="s">
        <v>121</v>
      </c>
      <c r="C54" s="83">
        <v>12592</v>
      </c>
      <c r="D54" s="83">
        <f>SUM(D52:D53)</f>
        <v>28665.741375999998</v>
      </c>
      <c r="E54" s="83">
        <f>SUM(E52:E53)</f>
        <v>37087.454089600003</v>
      </c>
      <c r="F54" s="83">
        <f>SUM(F52:F53)</f>
        <v>46306.819562559998</v>
      </c>
      <c r="G54" s="83">
        <f>SUM(G52:G53)</f>
        <v>56310.259142175993</v>
      </c>
    </row>
  </sheetData>
  <pageMargins left="0.7" right="0.7" top="0.75" bottom="0.75" header="0.3" footer="0.3"/>
  <ignoredErrors>
    <ignoredError sqref="C22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E0F3-3888-4570-B602-C3C3EB8E149A}">
  <dimension ref="A1:Q35"/>
  <sheetViews>
    <sheetView showGridLines="0" tabSelected="1" workbookViewId="0">
      <selection activeCell="O3" sqref="O3"/>
    </sheetView>
  </sheetViews>
  <sheetFormatPr defaultRowHeight="14.4" x14ac:dyDescent="0.3"/>
  <cols>
    <col min="1" max="1" width="3.109375" customWidth="1"/>
    <col min="2" max="2" width="21" bestFit="1" customWidth="1"/>
    <col min="3" max="6" width="7.5546875" bestFit="1" customWidth="1"/>
    <col min="7" max="7" width="3.5546875" customWidth="1"/>
    <col min="8" max="8" width="21" bestFit="1" customWidth="1"/>
    <col min="9" max="9" width="7.33203125" bestFit="1" customWidth="1"/>
    <col min="10" max="10" width="7.6640625" bestFit="1" customWidth="1"/>
    <col min="11" max="11" width="7.33203125" bestFit="1" customWidth="1"/>
    <col min="12" max="12" width="8" bestFit="1" customWidth="1"/>
    <col min="13" max="13" width="7" bestFit="1" customWidth="1"/>
    <col min="14" max="14" width="5.44140625" customWidth="1"/>
    <col min="15" max="15" width="20.109375" bestFit="1" customWidth="1"/>
    <col min="16" max="16" width="8.44140625" customWidth="1"/>
    <col min="17" max="17" width="2.5546875" customWidth="1"/>
  </cols>
  <sheetData>
    <row r="1" spans="1:17" x14ac:dyDescent="0.3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</row>
    <row r="2" spans="1:17" ht="34.950000000000003" customHeight="1" x14ac:dyDescent="0.35">
      <c r="A2" s="91"/>
      <c r="B2" s="123" t="s">
        <v>131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91"/>
    </row>
    <row r="3" spans="1:17" ht="34.950000000000003" customHeight="1" x14ac:dyDescent="0.3">
      <c r="A3" s="91"/>
      <c r="B3" s="93" t="s">
        <v>156</v>
      </c>
      <c r="C3" s="93"/>
      <c r="D3" s="93"/>
      <c r="E3" s="93"/>
      <c r="F3" s="93"/>
      <c r="G3" s="91"/>
      <c r="H3" s="93" t="s">
        <v>157</v>
      </c>
      <c r="I3" s="93"/>
      <c r="J3" s="93"/>
      <c r="K3" s="93"/>
      <c r="L3" s="93"/>
      <c r="M3" s="93"/>
      <c r="N3" s="91"/>
      <c r="O3" s="93" t="s">
        <v>147</v>
      </c>
      <c r="P3" s="93"/>
      <c r="Q3" s="91"/>
    </row>
    <row r="4" spans="1:17" x14ac:dyDescent="0.3">
      <c r="A4" s="91"/>
      <c r="B4" s="94"/>
      <c r="C4" s="95">
        <v>46103</v>
      </c>
      <c r="D4" s="95">
        <v>46104</v>
      </c>
      <c r="E4" s="95">
        <v>46105</v>
      </c>
      <c r="F4" s="95">
        <v>46106</v>
      </c>
      <c r="G4" s="91"/>
      <c r="H4" s="94"/>
      <c r="I4" s="95">
        <v>46103</v>
      </c>
      <c r="J4" s="95">
        <v>46104</v>
      </c>
      <c r="K4" s="95">
        <v>46105</v>
      </c>
      <c r="L4" s="95">
        <v>46106</v>
      </c>
      <c r="M4" s="94" t="s">
        <v>93</v>
      </c>
      <c r="N4" s="91"/>
      <c r="O4" s="94" t="s">
        <v>129</v>
      </c>
      <c r="P4" s="94" t="s">
        <v>132</v>
      </c>
      <c r="Q4" s="91"/>
    </row>
    <row r="5" spans="1:17" x14ac:dyDescent="0.3">
      <c r="A5" s="91"/>
      <c r="B5" s="96" t="s">
        <v>6</v>
      </c>
      <c r="C5" s="97">
        <f>'Assumption Data'!C3</f>
        <v>121641</v>
      </c>
      <c r="D5" s="97">
        <f>'Assumption Data'!D3</f>
        <v>146767</v>
      </c>
      <c r="E5" s="97">
        <f>'Assumption Data'!E3</f>
        <v>153670</v>
      </c>
      <c r="F5" s="97">
        <f>'Assumption Data'!F3</f>
        <v>162990</v>
      </c>
      <c r="G5" s="91"/>
      <c r="H5" s="96" t="s">
        <v>6</v>
      </c>
      <c r="I5" s="102">
        <f>'Assumption Data'!I3</f>
        <v>0</v>
      </c>
      <c r="J5" s="102">
        <f>'Assumption Data'!J3</f>
        <v>0.20655864387829759</v>
      </c>
      <c r="K5" s="102">
        <f>'Assumption Data'!K3</f>
        <v>4.7033733741236095E-2</v>
      </c>
      <c r="L5" s="102">
        <f>'Assumption Data'!L3</f>
        <v>6.0649443612936782E-2</v>
      </c>
      <c r="M5" s="106">
        <f>'Assumption Data'!M3</f>
        <v>0.10474727374415682</v>
      </c>
      <c r="N5" s="91"/>
      <c r="O5" s="96" t="s">
        <v>133</v>
      </c>
      <c r="P5" s="103">
        <f>'Assumption Data'!Q3</f>
        <v>0.1</v>
      </c>
      <c r="Q5" s="91"/>
    </row>
    <row r="6" spans="1:17" x14ac:dyDescent="0.3">
      <c r="A6" s="91"/>
      <c r="B6" s="98" t="s">
        <v>7</v>
      </c>
      <c r="C6" s="99">
        <f>'Assumption Data'!C4</f>
        <v>90150</v>
      </c>
      <c r="D6" s="99">
        <f>'Assumption Data'!D4</f>
        <v>111637</v>
      </c>
      <c r="E6" s="99">
        <f>'Assumption Data'!E4</f>
        <v>117245</v>
      </c>
      <c r="F6" s="99">
        <f>'Assumption Data'!F4</f>
        <v>123754</v>
      </c>
      <c r="G6" s="91"/>
      <c r="H6" s="98" t="s">
        <v>7</v>
      </c>
      <c r="I6" s="104">
        <f>'Assumption Data'!I4</f>
        <v>0.74111524897033076</v>
      </c>
      <c r="J6" s="104">
        <f>'Assumption Data'!J4</f>
        <v>0.76064101603221435</v>
      </c>
      <c r="K6" s="104">
        <f>'Assumption Data'!K4</f>
        <v>0.76296609618012623</v>
      </c>
      <c r="L6" s="104">
        <f>'Assumption Data'!L4</f>
        <v>0.75927357506595494</v>
      </c>
      <c r="M6" s="106">
        <f>'Assumption Data'!M4</f>
        <v>0.7559989840621566</v>
      </c>
      <c r="N6" s="91"/>
      <c r="O6" s="98" t="s">
        <v>122</v>
      </c>
      <c r="P6" s="105">
        <f>'Assumption Data'!Q4</f>
        <v>0.76</v>
      </c>
      <c r="Q6" s="91"/>
    </row>
    <row r="7" spans="1:17" x14ac:dyDescent="0.3">
      <c r="A7" s="91"/>
      <c r="B7" s="96" t="s">
        <v>8</v>
      </c>
      <c r="C7" s="97">
        <f>'Assumption Data'!C5</f>
        <v>31491</v>
      </c>
      <c r="D7" s="97">
        <f>'Assumption Data'!D5</f>
        <v>35130</v>
      </c>
      <c r="E7" s="97">
        <f>'Assumption Data'!E5</f>
        <v>36425</v>
      </c>
      <c r="F7" s="97">
        <f>'Assumption Data'!F5</f>
        <v>39236</v>
      </c>
      <c r="G7" s="91"/>
      <c r="H7" s="96" t="s">
        <v>8</v>
      </c>
      <c r="I7" s="102">
        <f>'Assumption Data'!I5</f>
        <v>0</v>
      </c>
      <c r="J7" s="102">
        <f>'Assumption Data'!J5</f>
        <v>0</v>
      </c>
      <c r="K7" s="102">
        <f>'Assumption Data'!K5</f>
        <v>0</v>
      </c>
      <c r="L7" s="102">
        <f>'Assumption Data'!L5</f>
        <v>0</v>
      </c>
      <c r="M7" s="106">
        <f>'Assumption Data'!M5</f>
        <v>0</v>
      </c>
      <c r="N7" s="91"/>
      <c r="O7" s="96" t="s">
        <v>123</v>
      </c>
      <c r="P7" s="103">
        <f>'Assumption Data'!Q5</f>
        <v>0.03</v>
      </c>
      <c r="Q7" s="91"/>
    </row>
    <row r="8" spans="1:17" x14ac:dyDescent="0.3">
      <c r="A8" s="91"/>
      <c r="B8" s="98" t="s">
        <v>9</v>
      </c>
      <c r="C8" s="99">
        <f>'Assumption Data'!C6</f>
        <v>2295</v>
      </c>
      <c r="D8" s="99">
        <f>'Assumption Data'!D6</f>
        <v>2701</v>
      </c>
      <c r="E8" s="99">
        <f>'Assumption Data'!E6</f>
        <v>4711</v>
      </c>
      <c r="F8" s="99">
        <f>'Assumption Data'!F6</f>
        <v>3600</v>
      </c>
      <c r="G8" s="91"/>
      <c r="H8" s="98" t="s">
        <v>9</v>
      </c>
      <c r="I8" s="104">
        <f>'Assumption Data'!I6</f>
        <v>0</v>
      </c>
      <c r="J8" s="104">
        <f>'Assumption Data'!J6</f>
        <v>0</v>
      </c>
      <c r="K8" s="104">
        <f>'Assumption Data'!K6</f>
        <v>0</v>
      </c>
      <c r="L8" s="104">
        <f>'Assumption Data'!L6</f>
        <v>0</v>
      </c>
      <c r="M8" s="106">
        <f>'Assumption Data'!M6</f>
        <v>0</v>
      </c>
      <c r="N8" s="91"/>
      <c r="O8" s="98" t="s">
        <v>134</v>
      </c>
      <c r="P8" s="105">
        <f>'Assumption Data'!Q6</f>
        <v>0.28000000000000003</v>
      </c>
      <c r="Q8" s="91"/>
    </row>
    <row r="9" spans="1:17" x14ac:dyDescent="0.3">
      <c r="A9" s="91"/>
      <c r="B9" s="96" t="s">
        <v>10</v>
      </c>
      <c r="C9" s="97">
        <f>'Assumption Data'!C7</f>
        <v>3476</v>
      </c>
      <c r="D9" s="97">
        <f>'Assumption Data'!D7</f>
        <v>4225</v>
      </c>
      <c r="E9" s="97">
        <f>'Assumption Data'!E7</f>
        <v>4678</v>
      </c>
      <c r="F9" s="97">
        <f>'Assumption Data'!F7</f>
        <v>4812</v>
      </c>
      <c r="G9" s="91"/>
      <c r="H9" s="96" t="s">
        <v>10</v>
      </c>
      <c r="I9" s="102">
        <f>'Assumption Data'!I7</f>
        <v>2.8575891352422292E-2</v>
      </c>
      <c r="J9" s="102">
        <f>'Assumption Data'!J7</f>
        <v>2.8787125171189708E-2</v>
      </c>
      <c r="K9" s="102">
        <f>'Assumption Data'!K7</f>
        <v>3.0441855925034164E-2</v>
      </c>
      <c r="L9" s="102">
        <f>'Assumption Data'!L7</f>
        <v>2.9523283637032948E-2</v>
      </c>
      <c r="M9" s="106">
        <f>'Assumption Data'!M7</f>
        <v>2.933203902141978E-2</v>
      </c>
      <c r="N9" s="91"/>
      <c r="O9" s="96"/>
      <c r="P9" s="96"/>
      <c r="Q9" s="91"/>
    </row>
    <row r="10" spans="1:17" x14ac:dyDescent="0.3">
      <c r="A10" s="91"/>
      <c r="B10" s="98" t="s">
        <v>11</v>
      </c>
      <c r="C10" s="99">
        <f>'Assumption Data'!C8</f>
        <v>200</v>
      </c>
      <c r="D10" s="99">
        <f>'Assumption Data'!D8</f>
        <v>284</v>
      </c>
      <c r="E10" s="99">
        <f>'Assumption Data'!E8</f>
        <v>470</v>
      </c>
      <c r="F10" s="99">
        <f>'Assumption Data'!F8</f>
        <v>416</v>
      </c>
      <c r="G10" s="91"/>
      <c r="H10" s="98" t="s">
        <v>11</v>
      </c>
      <c r="I10" s="104">
        <f>'Assumption Data'!I8</f>
        <v>0</v>
      </c>
      <c r="J10" s="104">
        <f>'Assumption Data'!J8</f>
        <v>0</v>
      </c>
      <c r="K10" s="104">
        <f>'Assumption Data'!K8</f>
        <v>0</v>
      </c>
      <c r="L10" s="104">
        <f>'Assumption Data'!L8</f>
        <v>0</v>
      </c>
      <c r="M10" s="106">
        <f>'Assumption Data'!M8</f>
        <v>0</v>
      </c>
      <c r="N10" s="91"/>
      <c r="O10" s="98" t="s">
        <v>124</v>
      </c>
      <c r="P10" s="99">
        <f>'Assumption Data'!Q8</f>
        <v>2073</v>
      </c>
      <c r="Q10" s="91"/>
    </row>
    <row r="11" spans="1:17" x14ac:dyDescent="0.3">
      <c r="A11" s="91"/>
      <c r="B11" s="96" t="s">
        <v>12</v>
      </c>
      <c r="C11" s="97">
        <f>'Assumption Data'!C9</f>
        <v>30110</v>
      </c>
      <c r="D11" s="97">
        <f>'Assumption Data'!D9</f>
        <v>33322</v>
      </c>
      <c r="E11" s="97">
        <f>'Assumption Data'!E9</f>
        <v>35988</v>
      </c>
      <c r="F11" s="97">
        <f>'Assumption Data'!F9</f>
        <v>37608</v>
      </c>
      <c r="G11" s="91"/>
      <c r="H11" s="96" t="s">
        <v>12</v>
      </c>
      <c r="I11" s="102">
        <f>'Assumption Data'!I9</f>
        <v>0</v>
      </c>
      <c r="J11" s="102">
        <f>'Assumption Data'!J9</f>
        <v>0</v>
      </c>
      <c r="K11" s="102">
        <f>'Assumption Data'!K9</f>
        <v>0</v>
      </c>
      <c r="L11" s="102">
        <f>'Assumption Data'!L9</f>
        <v>0</v>
      </c>
      <c r="M11" s="106">
        <f>'Assumption Data'!M9</f>
        <v>0</v>
      </c>
      <c r="N11" s="91"/>
      <c r="O11" s="96" t="s">
        <v>135</v>
      </c>
      <c r="P11" s="103">
        <f>'Assumption Data'!Q9</f>
        <v>0.18</v>
      </c>
      <c r="Q11" s="91"/>
    </row>
    <row r="12" spans="1:17" x14ac:dyDescent="0.3">
      <c r="A12" s="91"/>
      <c r="B12" s="98" t="s">
        <v>13</v>
      </c>
      <c r="C12" s="99">
        <f>'Assumption Data'!C10</f>
        <v>7964</v>
      </c>
      <c r="D12" s="99">
        <f>'Assumption Data'!D10</f>
        <v>9214</v>
      </c>
      <c r="E12" s="99">
        <f>'Assumption Data'!E10</f>
        <v>9740</v>
      </c>
      <c r="F12" s="99">
        <f>'Assumption Data'!F10</f>
        <v>10858</v>
      </c>
      <c r="G12" s="91"/>
      <c r="H12" s="98" t="s">
        <v>13</v>
      </c>
      <c r="I12" s="104">
        <f>'Assumption Data'!I10</f>
        <v>0.26449684490202591</v>
      </c>
      <c r="J12" s="104">
        <f>'Assumption Data'!J10</f>
        <v>0.27651401476502013</v>
      </c>
      <c r="K12" s="104">
        <f>'Assumption Data'!K10</f>
        <v>0.27064577081249308</v>
      </c>
      <c r="L12" s="104">
        <f>'Assumption Data'!L10</f>
        <v>0.28871516698574773</v>
      </c>
      <c r="M12" s="106">
        <f>'Assumption Data'!M10</f>
        <v>0.27509294936632167</v>
      </c>
      <c r="N12" s="91"/>
      <c r="O12" s="98" t="s">
        <v>148</v>
      </c>
      <c r="P12" s="105">
        <f>'Assumption Data'!Q10</f>
        <v>0.28000000000000003</v>
      </c>
      <c r="Q12" s="91"/>
    </row>
    <row r="13" spans="1:17" x14ac:dyDescent="0.3">
      <c r="A13" s="91"/>
      <c r="B13" s="94" t="s">
        <v>14</v>
      </c>
      <c r="C13" s="101">
        <f>'Assumption Data'!C11</f>
        <v>22110</v>
      </c>
      <c r="D13" s="101">
        <f>'Assumption Data'!D11</f>
        <v>24095</v>
      </c>
      <c r="E13" s="101">
        <f>'Assumption Data'!E11</f>
        <v>26233</v>
      </c>
      <c r="F13" s="101">
        <f>'Assumption Data'!F11</f>
        <v>26713</v>
      </c>
      <c r="G13" s="91"/>
      <c r="H13" s="96" t="s">
        <v>14</v>
      </c>
      <c r="I13" s="102">
        <f>'Assumption Data'!I11</f>
        <v>0</v>
      </c>
      <c r="J13" s="102">
        <f>'Assumption Data'!J11</f>
        <v>0</v>
      </c>
      <c r="K13" s="102">
        <f>'Assumption Data'!K11</f>
        <v>0</v>
      </c>
      <c r="L13" s="102">
        <f>'Assumption Data'!L11</f>
        <v>0</v>
      </c>
      <c r="M13" s="106">
        <f>'Assumption Data'!M11</f>
        <v>0</v>
      </c>
      <c r="N13" s="91"/>
      <c r="O13" s="96" t="s">
        <v>149</v>
      </c>
      <c r="P13" s="103">
        <f>'Assumption Data'!Q11</f>
        <v>0.64</v>
      </c>
      <c r="Q13" s="91"/>
    </row>
    <row r="14" spans="1:17" x14ac:dyDescent="0.3">
      <c r="A14" s="91"/>
      <c r="B14" s="93" t="s">
        <v>154</v>
      </c>
      <c r="C14" s="93"/>
      <c r="D14" s="93"/>
      <c r="E14" s="93"/>
      <c r="F14" s="93"/>
      <c r="G14" s="91"/>
      <c r="H14" s="93" t="s">
        <v>158</v>
      </c>
      <c r="I14" s="93"/>
      <c r="J14" s="93"/>
      <c r="K14" s="93"/>
      <c r="L14" s="93"/>
      <c r="M14" s="93"/>
      <c r="N14" s="91"/>
      <c r="O14" s="92"/>
      <c r="P14" s="92"/>
      <c r="Q14" s="91"/>
    </row>
    <row r="15" spans="1:17" x14ac:dyDescent="0.3">
      <c r="A15" s="91"/>
      <c r="B15" s="94" t="s">
        <v>2</v>
      </c>
      <c r="C15" s="95">
        <v>46103</v>
      </c>
      <c r="D15" s="95">
        <v>46104</v>
      </c>
      <c r="E15" s="95">
        <v>46105</v>
      </c>
      <c r="F15" s="95">
        <v>46106</v>
      </c>
      <c r="G15" s="91"/>
      <c r="H15" s="94" t="s">
        <v>2</v>
      </c>
      <c r="I15" s="95">
        <v>46103</v>
      </c>
      <c r="J15" s="95">
        <v>46104</v>
      </c>
      <c r="K15" s="95">
        <v>46105</v>
      </c>
      <c r="L15" s="95">
        <v>46106</v>
      </c>
      <c r="M15" s="94" t="s">
        <v>93</v>
      </c>
      <c r="N15" s="91"/>
      <c r="O15" s="100" t="s">
        <v>136</v>
      </c>
      <c r="P15" s="109">
        <f>'Assumption Data'!Q13</f>
        <v>0.05</v>
      </c>
      <c r="Q15" s="91"/>
    </row>
    <row r="16" spans="1:17" x14ac:dyDescent="0.3">
      <c r="A16" s="91"/>
      <c r="B16" s="96" t="s">
        <v>24</v>
      </c>
      <c r="C16" s="97">
        <f>'Assumption Data'!C15</f>
        <v>2098</v>
      </c>
      <c r="D16" s="97">
        <f>'Assumption Data'!D15</f>
        <v>2069</v>
      </c>
      <c r="E16" s="97">
        <f>'Assumption Data'!E15</f>
        <v>2071</v>
      </c>
      <c r="F16" s="97">
        <f>'Assumption Data'!F15</f>
        <v>2073</v>
      </c>
      <c r="G16" s="91"/>
      <c r="H16" s="96" t="s">
        <v>24</v>
      </c>
      <c r="I16" s="97">
        <f>'Assumption Data'!I15</f>
        <v>2098</v>
      </c>
      <c r="J16" s="97">
        <f>'Assumption Data'!J15</f>
        <v>2069</v>
      </c>
      <c r="K16" s="97">
        <f>'Assumption Data'!K15</f>
        <v>2071</v>
      </c>
      <c r="L16" s="97">
        <f>'Assumption Data'!L15</f>
        <v>2073</v>
      </c>
      <c r="M16" s="107">
        <f>'Assumption Data'!M15</f>
        <v>2073</v>
      </c>
      <c r="N16" s="91"/>
      <c r="O16" s="98" t="s">
        <v>137</v>
      </c>
      <c r="P16" s="105">
        <f>'Assumption Data'!Q14</f>
        <v>0.06</v>
      </c>
      <c r="Q16" s="91"/>
    </row>
    <row r="17" spans="1:17" x14ac:dyDescent="0.3">
      <c r="A17" s="91"/>
      <c r="B17" s="98" t="s">
        <v>25</v>
      </c>
      <c r="C17" s="99">
        <f>'Assumption Data'!C16</f>
        <v>73252</v>
      </c>
      <c r="D17" s="99">
        <f>'Assumption Data'!D16</f>
        <v>73338</v>
      </c>
      <c r="E17" s="99">
        <f>'Assumption Data'!E16</f>
        <v>86045</v>
      </c>
      <c r="F17" s="99">
        <f>'Assumption Data'!F16</f>
        <v>93745</v>
      </c>
      <c r="G17" s="91"/>
      <c r="H17" s="98" t="s">
        <v>25</v>
      </c>
      <c r="I17" s="104">
        <f>'Assumption Data'!I16</f>
        <v>0</v>
      </c>
      <c r="J17" s="104">
        <f>'Assumption Data'!J16</f>
        <v>0</v>
      </c>
      <c r="K17" s="104">
        <f>'Assumption Data'!K16</f>
        <v>0</v>
      </c>
      <c r="L17" s="104">
        <f>'Assumption Data'!L16</f>
        <v>0</v>
      </c>
      <c r="M17" s="108">
        <f>'Assumption Data'!M16</f>
        <v>0</v>
      </c>
      <c r="N17" s="91"/>
      <c r="O17" s="96" t="s">
        <v>126</v>
      </c>
      <c r="P17" s="103">
        <f>'Assumption Data'!Q15</f>
        <v>0.45</v>
      </c>
      <c r="Q17" s="91"/>
    </row>
    <row r="18" spans="1:17" x14ac:dyDescent="0.3">
      <c r="A18" s="91"/>
      <c r="B18" s="96" t="s">
        <v>71</v>
      </c>
      <c r="C18" s="97">
        <f>'Assumption Data'!C17</f>
        <v>5474</v>
      </c>
      <c r="D18" s="97">
        <f>'Assumption Data'!D17</f>
        <v>8299</v>
      </c>
      <c r="E18" s="97">
        <f>'Assumption Data'!E17</f>
        <v>8359</v>
      </c>
      <c r="F18" s="97">
        <f>'Assumption Data'!F17</f>
        <v>8227</v>
      </c>
      <c r="G18" s="91"/>
      <c r="H18" s="96" t="s">
        <v>71</v>
      </c>
      <c r="I18" s="102">
        <f>'Assumption Data'!I17</f>
        <v>0</v>
      </c>
      <c r="J18" s="102">
        <f>'Assumption Data'!J17</f>
        <v>0.51607599561563755</v>
      </c>
      <c r="K18" s="102">
        <f>'Assumption Data'!K17</f>
        <v>7.2297867212918199E-3</v>
      </c>
      <c r="L18" s="102">
        <f>'Assumption Data'!L17</f>
        <v>-1.5791362603182146E-2</v>
      </c>
      <c r="M18" s="108">
        <f>'Assumption Data'!M17</f>
        <v>0.1691714732445824</v>
      </c>
      <c r="N18" s="91"/>
      <c r="O18" s="98" t="s">
        <v>127</v>
      </c>
      <c r="P18" s="105">
        <f>'Assumption Data'!Q16</f>
        <v>0.04</v>
      </c>
      <c r="Q18" s="91"/>
    </row>
    <row r="19" spans="1:17" x14ac:dyDescent="0.3">
      <c r="A19" s="91"/>
      <c r="B19" s="98" t="s">
        <v>72</v>
      </c>
      <c r="C19" s="99">
        <f>'Assumption Data'!C18</f>
        <v>35905</v>
      </c>
      <c r="D19" s="99">
        <f>'Assumption Data'!D18</f>
        <v>40890</v>
      </c>
      <c r="E19" s="99">
        <f>'Assumption Data'!E18</f>
        <v>40885</v>
      </c>
      <c r="F19" s="99">
        <f>'Assumption Data'!F18</f>
        <v>43750</v>
      </c>
      <c r="G19" s="91"/>
      <c r="H19" s="98" t="s">
        <v>72</v>
      </c>
      <c r="I19" s="104">
        <f>'Assumption Data'!I18</f>
        <v>0.29517185817282005</v>
      </c>
      <c r="J19" s="104">
        <f>'Assumption Data'!J18</f>
        <v>0.27860486349111174</v>
      </c>
      <c r="K19" s="104">
        <f>'Assumption Data'!K18</f>
        <v>0.26605713542005599</v>
      </c>
      <c r="L19" s="104">
        <f>'Assumption Data'!L18</f>
        <v>0.26842137554451195</v>
      </c>
      <c r="M19" s="108">
        <f>'Assumption Data'!M18</f>
        <v>0.27706380815712495</v>
      </c>
      <c r="N19" s="91"/>
      <c r="O19" s="91"/>
      <c r="P19" s="91"/>
      <c r="Q19" s="91"/>
    </row>
    <row r="20" spans="1:17" x14ac:dyDescent="0.3">
      <c r="A20" s="91"/>
      <c r="B20" s="94" t="s">
        <v>26</v>
      </c>
      <c r="C20" s="101">
        <f>'Assumption Data'!C19</f>
        <v>116729</v>
      </c>
      <c r="D20" s="101">
        <f>'Assumption Data'!D19</f>
        <v>124596</v>
      </c>
      <c r="E20" s="101">
        <f>'Assumption Data'!E19</f>
        <v>137360</v>
      </c>
      <c r="F20" s="101">
        <f>'Assumption Data'!F19</f>
        <v>147795</v>
      </c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</row>
    <row r="21" spans="1:17" x14ac:dyDescent="0.3">
      <c r="A21" s="91"/>
      <c r="B21" s="93" t="s">
        <v>155</v>
      </c>
      <c r="C21" s="93"/>
      <c r="D21" s="93"/>
      <c r="E21" s="93"/>
      <c r="F21" s="93"/>
      <c r="G21" s="91"/>
      <c r="H21" s="93" t="s">
        <v>159</v>
      </c>
      <c r="I21" s="93"/>
      <c r="J21" s="93"/>
      <c r="K21" s="93"/>
      <c r="L21" s="93"/>
      <c r="M21" s="93"/>
      <c r="N21" s="91"/>
      <c r="O21" s="91"/>
      <c r="P21" s="91"/>
      <c r="Q21" s="91"/>
    </row>
    <row r="22" spans="1:17" x14ac:dyDescent="0.3">
      <c r="A22" s="91"/>
      <c r="B22" s="94" t="s">
        <v>150</v>
      </c>
      <c r="C22" s="95">
        <v>46103</v>
      </c>
      <c r="D22" s="95">
        <v>46104</v>
      </c>
      <c r="E22" s="95">
        <v>46105</v>
      </c>
      <c r="F22" s="95">
        <v>46106</v>
      </c>
      <c r="G22" s="91"/>
      <c r="H22" s="94" t="s">
        <v>151</v>
      </c>
      <c r="I22" s="95">
        <v>46103</v>
      </c>
      <c r="J22" s="95">
        <v>46104</v>
      </c>
      <c r="K22" s="95">
        <v>46105</v>
      </c>
      <c r="L22" s="95">
        <v>46106</v>
      </c>
      <c r="M22" s="94" t="s">
        <v>93</v>
      </c>
      <c r="N22" s="91"/>
      <c r="O22" s="91"/>
      <c r="P22" s="91"/>
      <c r="Q22" s="91"/>
    </row>
    <row r="23" spans="1:17" x14ac:dyDescent="0.3">
      <c r="A23" s="91"/>
      <c r="B23" s="96" t="s">
        <v>139</v>
      </c>
      <c r="C23" s="97">
        <f>'Assumption Data'!C23</f>
        <v>13207</v>
      </c>
      <c r="D23" s="97">
        <f>'Assumption Data'!D23</f>
        <v>15466</v>
      </c>
      <c r="E23" s="97">
        <f>'Assumption Data'!E23</f>
        <v>10692</v>
      </c>
      <c r="F23" s="97">
        <f>'Assumption Data'!F23</f>
        <v>12592</v>
      </c>
      <c r="G23" s="91"/>
      <c r="H23" s="96" t="s">
        <v>27</v>
      </c>
      <c r="I23" s="102">
        <f>'Assumption Data'!I21</f>
        <v>0</v>
      </c>
      <c r="J23" s="102">
        <f>'Assumption Data'!J21</f>
        <v>0</v>
      </c>
      <c r="K23" s="102">
        <f>'Assumption Data'!K21</f>
        <v>0</v>
      </c>
      <c r="L23" s="102">
        <f>'Assumption Data'!L21</f>
        <v>0</v>
      </c>
      <c r="M23" s="106">
        <f>'Assumption Data'!M21</f>
        <v>0</v>
      </c>
      <c r="N23" s="91"/>
      <c r="O23" s="91"/>
      <c r="P23" s="91"/>
      <c r="Q23" s="91"/>
    </row>
    <row r="24" spans="1:17" x14ac:dyDescent="0.3">
      <c r="A24" s="91"/>
      <c r="B24" s="98" t="s">
        <v>27</v>
      </c>
      <c r="C24" s="99">
        <f>'Assumption Data'!C24</f>
        <v>25800</v>
      </c>
      <c r="D24" s="99">
        <f>'Assumption Data'!D24</f>
        <v>29225</v>
      </c>
      <c r="E24" s="99">
        <f>'Assumption Data'!E24</f>
        <v>27622</v>
      </c>
      <c r="F24" s="99">
        <f>'Assumption Data'!F24</f>
        <v>30961</v>
      </c>
      <c r="G24" s="91"/>
      <c r="H24" s="98" t="s">
        <v>28</v>
      </c>
      <c r="I24" s="104">
        <f>'Assumption Data'!I22</f>
        <v>0</v>
      </c>
      <c r="J24" s="104">
        <f>'Assumption Data'!J22</f>
        <v>-0.30769230769230771</v>
      </c>
      <c r="K24" s="104">
        <f>'Assumption Data'!K22</f>
        <v>1.736111111111116E-2</v>
      </c>
      <c r="L24" s="104">
        <f>'Assumption Data'!L22</f>
        <v>1.7781569965870307</v>
      </c>
      <c r="M24" s="106">
        <f>'Assumption Data'!M22</f>
        <v>0.49594193333527808</v>
      </c>
      <c r="N24" s="91"/>
      <c r="O24" s="91"/>
      <c r="P24" s="91"/>
      <c r="Q24" s="91"/>
    </row>
    <row r="25" spans="1:17" x14ac:dyDescent="0.3">
      <c r="A25" s="91"/>
      <c r="B25" s="96" t="s">
        <v>28</v>
      </c>
      <c r="C25" s="97">
        <f>'Assumption Data'!C25</f>
        <v>416</v>
      </c>
      <c r="D25" s="97">
        <f>'Assumption Data'!D25</f>
        <v>288</v>
      </c>
      <c r="E25" s="97">
        <f>'Assumption Data'!E25</f>
        <v>293</v>
      </c>
      <c r="F25" s="97">
        <f>'Assumption Data'!F25</f>
        <v>814</v>
      </c>
      <c r="G25" s="91"/>
      <c r="H25" s="96" t="s">
        <v>29</v>
      </c>
      <c r="I25" s="102">
        <f>'Assumption Data'!I23</f>
        <v>0</v>
      </c>
      <c r="J25" s="102">
        <f>'Assumption Data'!J23</f>
        <v>-4.1625664239323013E-2</v>
      </c>
      <c r="K25" s="102">
        <f>'Assumption Data'!K23</f>
        <v>0.26414416264503537</v>
      </c>
      <c r="L25" s="102">
        <f>'Assumption Data'!L23</f>
        <v>-4.39426552410348E-2</v>
      </c>
      <c r="M25" s="106">
        <f>'Assumption Data'!M23</f>
        <v>5.952528105489252E-2</v>
      </c>
      <c r="N25" s="91"/>
      <c r="O25" s="91"/>
      <c r="P25" s="91"/>
      <c r="Q25" s="91"/>
    </row>
    <row r="26" spans="1:17" x14ac:dyDescent="0.3">
      <c r="A26" s="91"/>
      <c r="B26" s="98" t="s">
        <v>29</v>
      </c>
      <c r="C26" s="99">
        <f>'Assumption Data'!C26</f>
        <v>20324</v>
      </c>
      <c r="D26" s="99">
        <f>'Assumption Data'!D26</f>
        <v>19478</v>
      </c>
      <c r="E26" s="99">
        <f>'Assumption Data'!E26</f>
        <v>24623</v>
      </c>
      <c r="F26" s="99">
        <f>'Assumption Data'!F26</f>
        <v>23541</v>
      </c>
      <c r="G26" s="91"/>
      <c r="H26" s="98" t="s">
        <v>73</v>
      </c>
      <c r="I26" s="104">
        <f>'Assumption Data'!I24</f>
        <v>0</v>
      </c>
      <c r="J26" s="104">
        <f>'Assumption Data'!J24</f>
        <v>0.46844402791821838</v>
      </c>
      <c r="K26" s="104">
        <f>'Assumption Data'!K24</f>
        <v>0.40975832441897703</v>
      </c>
      <c r="L26" s="104">
        <f>'Assumption Data'!L24</f>
        <v>0.48239734495997916</v>
      </c>
      <c r="M26" s="106">
        <f>'Assumption Data'!M24</f>
        <v>0.45353323243239152</v>
      </c>
      <c r="N26" s="91"/>
      <c r="O26" s="91"/>
      <c r="P26" s="91"/>
      <c r="Q26" s="91"/>
    </row>
    <row r="27" spans="1:17" x14ac:dyDescent="0.3">
      <c r="A27" s="91"/>
      <c r="B27" s="96" t="s">
        <v>73</v>
      </c>
      <c r="C27" s="97">
        <f>'Assumption Data'!C27</f>
        <v>56982</v>
      </c>
      <c r="D27" s="97">
        <f>'Assumption Data'!D27</f>
        <v>60139</v>
      </c>
      <c r="E27" s="97">
        <f>'Assumption Data'!E27</f>
        <v>74130</v>
      </c>
      <c r="F27" s="97">
        <f>'Assumption Data'!F27</f>
        <v>79887</v>
      </c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</row>
    <row r="28" spans="1:17" x14ac:dyDescent="0.3">
      <c r="A28" s="91"/>
      <c r="B28" s="110" t="s">
        <v>140</v>
      </c>
      <c r="C28" s="101">
        <f t="shared" ref="C28:F28" si="0">SUM(C23:C27)</f>
        <v>116729</v>
      </c>
      <c r="D28" s="101">
        <f t="shared" si="0"/>
        <v>124596</v>
      </c>
      <c r="E28" s="101">
        <f t="shared" si="0"/>
        <v>137360</v>
      </c>
      <c r="F28" s="101">
        <f t="shared" si="0"/>
        <v>147795</v>
      </c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</row>
    <row r="29" spans="1:17" x14ac:dyDescent="0.3">
      <c r="A29" s="91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</row>
    <row r="30" spans="1:17" x14ac:dyDescent="0.3">
      <c r="A30" s="91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</row>
    <row r="31" spans="1:17" x14ac:dyDescent="0.3">
      <c r="A31" s="91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</row>
    <row r="32" spans="1:17" x14ac:dyDescent="0.3">
      <c r="A32" s="91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</row>
    <row r="33" spans="1:17" x14ac:dyDescent="0.3">
      <c r="A33" s="91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</row>
    <row r="34" spans="1:17" x14ac:dyDescent="0.3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</row>
    <row r="35" spans="1:17" x14ac:dyDescent="0.3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</row>
  </sheetData>
  <mergeCells count="1">
    <mergeCell ref="B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54C97-B4D6-4E84-B97C-B698F5FF449E}">
  <dimension ref="B2:O37"/>
  <sheetViews>
    <sheetView showGridLines="0" topLeftCell="A22" workbookViewId="0">
      <selection activeCell="M3" sqref="M3"/>
    </sheetView>
  </sheetViews>
  <sheetFormatPr defaultRowHeight="14.4" x14ac:dyDescent="0.3"/>
  <cols>
    <col min="1" max="1" width="4.6640625" customWidth="1"/>
    <col min="2" max="2" width="25.88671875" bestFit="1" customWidth="1"/>
    <col min="3" max="3" width="7.5546875" bestFit="1" customWidth="1"/>
    <col min="4" max="7" width="8.109375" bestFit="1" customWidth="1"/>
    <col min="8" max="8" width="4.44140625" customWidth="1"/>
    <col min="9" max="9" width="5.21875" customWidth="1"/>
    <col min="10" max="10" width="20.109375" bestFit="1" customWidth="1"/>
    <col min="11" max="11" width="6.5546875" bestFit="1" customWidth="1"/>
    <col min="12" max="15" width="7.5546875" bestFit="1" customWidth="1"/>
    <col min="16" max="16" width="4.88671875" customWidth="1"/>
    <col min="17" max="20" width="14.77734375" customWidth="1"/>
  </cols>
  <sheetData>
    <row r="2" spans="2:15" ht="34.950000000000003" customHeight="1" x14ac:dyDescent="0.35">
      <c r="B2" s="119" t="s">
        <v>160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</row>
    <row r="3" spans="2:15" ht="34.950000000000003" customHeight="1" x14ac:dyDescent="0.3">
      <c r="B3" s="111" t="s">
        <v>153</v>
      </c>
      <c r="C3" s="111"/>
      <c r="D3" s="111"/>
      <c r="E3" s="111"/>
      <c r="F3" s="111"/>
      <c r="G3" s="111"/>
    </row>
    <row r="4" spans="2:15" ht="15.6" x14ac:dyDescent="0.3">
      <c r="B4" s="112"/>
      <c r="C4" s="112">
        <v>2025</v>
      </c>
      <c r="D4" s="112">
        <v>2026</v>
      </c>
      <c r="E4" s="112">
        <v>2027</v>
      </c>
      <c r="F4" s="112">
        <v>2028</v>
      </c>
      <c r="G4" s="112">
        <v>2029</v>
      </c>
      <c r="J4" s="120" t="s">
        <v>130</v>
      </c>
      <c r="K4" s="120"/>
      <c r="L4" s="120"/>
      <c r="M4" s="120"/>
      <c r="N4" s="120"/>
      <c r="O4" s="120"/>
    </row>
    <row r="5" spans="2:15" x14ac:dyDescent="0.3">
      <c r="B5" s="43" t="s">
        <v>6</v>
      </c>
      <c r="C5" s="46">
        <f>'1M2026-TSM'!C6</f>
        <v>162990</v>
      </c>
      <c r="D5" s="46">
        <f>'1M2026-TSM'!D6</f>
        <v>179289</v>
      </c>
      <c r="E5" s="46">
        <f>'1M2026-TSM'!E6</f>
        <v>197217.90000000002</v>
      </c>
      <c r="F5" s="46">
        <f>'1M2026-TSM'!F6</f>
        <v>216939.69000000003</v>
      </c>
      <c r="G5" s="46">
        <f>'1M2026-TSM'!G6</f>
        <v>238633.65900000004</v>
      </c>
      <c r="J5" s="47" t="s">
        <v>98</v>
      </c>
      <c r="K5" s="80">
        <v>2025</v>
      </c>
      <c r="L5" s="47">
        <v>2026</v>
      </c>
      <c r="M5" s="47">
        <v>2027</v>
      </c>
      <c r="N5" s="47">
        <v>2028</v>
      </c>
      <c r="O5" s="47">
        <v>2029</v>
      </c>
    </row>
    <row r="6" spans="2:15" x14ac:dyDescent="0.3">
      <c r="B6" s="113" t="s">
        <v>7</v>
      </c>
      <c r="C6" s="114">
        <f>'1M2026-TSM'!C7</f>
        <v>123754</v>
      </c>
      <c r="D6" s="114">
        <f>'1M2026-TSM'!D7</f>
        <v>-125502.29999999999</v>
      </c>
      <c r="E6" s="114">
        <f>'1M2026-TSM'!E7</f>
        <v>-138052.53</v>
      </c>
      <c r="F6" s="114">
        <f>'1M2026-TSM'!F7</f>
        <v>-151857.78300000002</v>
      </c>
      <c r="G6" s="114">
        <f>'1M2026-TSM'!G7</f>
        <v>-167043.56130000003</v>
      </c>
      <c r="J6" s="54" t="s">
        <v>99</v>
      </c>
      <c r="K6" s="79"/>
      <c r="L6" s="65">
        <f>'1M2026-TSM'!K8</f>
        <v>93745</v>
      </c>
      <c r="M6" s="65">
        <f>'1M2026-TSM'!L8</f>
        <v>106292.36137600002</v>
      </c>
      <c r="N6" s="65">
        <f>'1M2026-TSM'!M8</f>
        <v>120094.45888960001</v>
      </c>
      <c r="O6" s="65">
        <f>'1M2026-TSM'!N8</f>
        <v>135276.76615456</v>
      </c>
    </row>
    <row r="7" spans="2:15" x14ac:dyDescent="0.3">
      <c r="B7" s="43" t="s">
        <v>8</v>
      </c>
      <c r="C7" s="46">
        <f>'1M2026-TSM'!C8</f>
        <v>39236</v>
      </c>
      <c r="D7" s="46">
        <f>'1M2026-TSM'!D8</f>
        <v>53786.700000000012</v>
      </c>
      <c r="E7" s="46">
        <f>'1M2026-TSM'!E8</f>
        <v>59165.370000000024</v>
      </c>
      <c r="F7" s="46">
        <f>'1M2026-TSM'!F8</f>
        <v>65081.907000000007</v>
      </c>
      <c r="G7" s="46">
        <f>'1M2026-TSM'!G8</f>
        <v>71590.097700000013</v>
      </c>
      <c r="J7" s="55" t="s">
        <v>100</v>
      </c>
      <c r="K7" s="79"/>
      <c r="L7" s="56">
        <f>'1M2026-TSM'!K9</f>
        <v>34853.781600000009</v>
      </c>
      <c r="M7" s="56">
        <f>'1M2026-TSM'!L9</f>
        <v>38339.159760000017</v>
      </c>
      <c r="N7" s="56">
        <f>'1M2026-TSM'!M9</f>
        <v>42173.075735999999</v>
      </c>
      <c r="O7" s="56">
        <f>'1M2026-TSM'!N9</f>
        <v>46390.383309600002</v>
      </c>
    </row>
    <row r="8" spans="2:15" x14ac:dyDescent="0.3">
      <c r="B8" s="113" t="s">
        <v>9</v>
      </c>
      <c r="C8" s="114">
        <f>'1M2026-TSM'!C9</f>
        <v>3600</v>
      </c>
      <c r="D8" s="114">
        <f>'1M2026-TSM'!D9</f>
        <v>0</v>
      </c>
      <c r="E8" s="114">
        <f>'1M2026-TSM'!E9</f>
        <v>0</v>
      </c>
      <c r="F8" s="114">
        <f>'1M2026-TSM'!F9</f>
        <v>0</v>
      </c>
      <c r="G8" s="114">
        <f>'1M2026-TSM'!G9</f>
        <v>0</v>
      </c>
      <c r="J8" s="54" t="s">
        <v>101</v>
      </c>
      <c r="K8" s="79"/>
      <c r="L8" s="65">
        <f>'1M2026-TSM'!K10</f>
        <v>-22306.420224000005</v>
      </c>
      <c r="M8" s="65">
        <f>'1M2026-TSM'!L10</f>
        <v>-24537.062246400012</v>
      </c>
      <c r="N8" s="65">
        <f>'1M2026-TSM'!M10</f>
        <v>-26990.768471039999</v>
      </c>
      <c r="O8" s="65">
        <f>'1M2026-TSM'!N10</f>
        <v>-29689.845318144002</v>
      </c>
    </row>
    <row r="9" spans="2:15" x14ac:dyDescent="0.3">
      <c r="B9" s="43" t="s">
        <v>10</v>
      </c>
      <c r="C9" s="46">
        <f>'1M2026-TSM'!C10</f>
        <v>4812</v>
      </c>
      <c r="D9" s="46">
        <f>'1M2026-TSM'!D10</f>
        <v>-5378.67</v>
      </c>
      <c r="E9" s="46">
        <f>'1M2026-TSM'!E10</f>
        <v>-5916.5370000000003</v>
      </c>
      <c r="F9" s="46">
        <f>'1M2026-TSM'!F10</f>
        <v>-6508.190700000001</v>
      </c>
      <c r="G9" s="46">
        <f>'1M2026-TSM'!G10</f>
        <v>-7159.0097700000015</v>
      </c>
      <c r="J9" s="47" t="s">
        <v>102</v>
      </c>
      <c r="K9" s="79">
        <f>'1M2026-TSM'!J11</f>
        <v>93745</v>
      </c>
      <c r="L9" s="66">
        <f>'1M2026-TSM'!K11</f>
        <v>106292.36137600002</v>
      </c>
      <c r="M9" s="66">
        <f>'1M2026-TSM'!L11</f>
        <v>120094.45888960001</v>
      </c>
      <c r="N9" s="66">
        <f>'1M2026-TSM'!M11</f>
        <v>135276.76615456</v>
      </c>
      <c r="O9" s="66">
        <f>'1M2026-TSM'!N11</f>
        <v>151977.30414601599</v>
      </c>
    </row>
    <row r="10" spans="2:15" x14ac:dyDescent="0.3">
      <c r="B10" s="113" t="s">
        <v>11</v>
      </c>
      <c r="C10" s="114" t="s">
        <v>163</v>
      </c>
      <c r="D10" s="114">
        <f>'1M2026-TSM'!D11</f>
        <v>0</v>
      </c>
      <c r="E10" s="114">
        <f>'1M2026-TSM'!E11</f>
        <v>0</v>
      </c>
      <c r="F10" s="114">
        <f>'1M2026-TSM'!F11</f>
        <v>0</v>
      </c>
      <c r="G10" s="114">
        <f>'1M2026-TSM'!G11</f>
        <v>0</v>
      </c>
    </row>
    <row r="11" spans="2:15" x14ac:dyDescent="0.3">
      <c r="B11" s="43" t="s">
        <v>12</v>
      </c>
      <c r="C11" s="46">
        <f>'1M2026-TSM'!C12</f>
        <v>37608</v>
      </c>
      <c r="D11" s="46">
        <f>'1M2026-TSM'!D12</f>
        <v>48408.030000000013</v>
      </c>
      <c r="E11" s="46">
        <f>'1M2026-TSM'!E12</f>
        <v>53248.833000000028</v>
      </c>
      <c r="F11" s="46">
        <f>'1M2026-TSM'!F12</f>
        <v>58573.716300000007</v>
      </c>
      <c r="G11" s="46">
        <f>'1M2026-TSM'!G12</f>
        <v>64431.087930000009</v>
      </c>
      <c r="J11" s="57" t="s">
        <v>27</v>
      </c>
      <c r="K11" s="80">
        <v>2025</v>
      </c>
      <c r="L11" s="57">
        <v>2026</v>
      </c>
      <c r="M11" s="57">
        <v>2027</v>
      </c>
      <c r="N11" s="57">
        <v>2028</v>
      </c>
      <c r="O11" s="57">
        <v>2029</v>
      </c>
    </row>
    <row r="12" spans="2:15" x14ac:dyDescent="0.3">
      <c r="B12" s="113" t="s">
        <v>13</v>
      </c>
      <c r="C12" s="114">
        <f>'1M2026-TSM'!C13</f>
        <v>10858</v>
      </c>
      <c r="D12" s="114">
        <f>'1M2026-TSM'!D13</f>
        <v>-13554.248400000006</v>
      </c>
      <c r="E12" s="114">
        <f>'1M2026-TSM'!E13</f>
        <v>-14909.673240000009</v>
      </c>
      <c r="F12" s="114">
        <f>'1M2026-TSM'!F13</f>
        <v>-16400.640564000005</v>
      </c>
      <c r="G12" s="114">
        <f>'1M2026-TSM'!G13</f>
        <v>-18040.704620400003</v>
      </c>
      <c r="J12" s="48" t="s">
        <v>146</v>
      </c>
      <c r="K12" s="79"/>
      <c r="L12" s="49">
        <f>'1M2026-TSM'!K17</f>
        <v>30961</v>
      </c>
      <c r="M12" s="49">
        <f>'1M2026-TSM'!L17</f>
        <v>32753.89</v>
      </c>
      <c r="N12" s="49">
        <f>'1M2026-TSM'!M17</f>
        <v>34726.069000000003</v>
      </c>
      <c r="O12" s="49">
        <f>'1M2026-TSM'!N17</f>
        <v>36895.465900000003</v>
      </c>
    </row>
    <row r="13" spans="2:15" x14ac:dyDescent="0.3">
      <c r="B13" s="115" t="s">
        <v>14</v>
      </c>
      <c r="C13" s="116">
        <f>'1M2026-TSM'!C14</f>
        <v>26713</v>
      </c>
      <c r="D13" s="116">
        <f>'1M2026-TSM'!D14</f>
        <v>34853.781600000009</v>
      </c>
      <c r="E13" s="116">
        <f>'1M2026-TSM'!E14</f>
        <v>38339.159760000017</v>
      </c>
      <c r="F13" s="116">
        <f>'1M2026-TSM'!F14</f>
        <v>42173.075735999999</v>
      </c>
      <c r="G13" s="116">
        <f>'1M2026-TSM'!G14</f>
        <v>46390.383309600002</v>
      </c>
      <c r="J13" s="58" t="s">
        <v>104</v>
      </c>
      <c r="K13" s="79"/>
      <c r="L13" s="59">
        <f>'1M2026-TSM'!K18</f>
        <v>7171.56</v>
      </c>
      <c r="M13" s="59">
        <f>'1M2026-TSM'!L18</f>
        <v>7888.7160000000013</v>
      </c>
      <c r="N13" s="59">
        <f>'1M2026-TSM'!M18</f>
        <v>8677.5876000000007</v>
      </c>
      <c r="O13" s="59">
        <f>'1M2026-TSM'!N18</f>
        <v>9545.3463600000014</v>
      </c>
    </row>
    <row r="14" spans="2:15" x14ac:dyDescent="0.3">
      <c r="B14" s="76" t="s">
        <v>154</v>
      </c>
      <c r="J14" s="48" t="s">
        <v>10</v>
      </c>
      <c r="K14" s="79"/>
      <c r="L14" s="49">
        <f>'1M2026-TSM'!K19</f>
        <v>-5378.67</v>
      </c>
      <c r="M14" s="49">
        <f>'1M2026-TSM'!L19</f>
        <v>-5916.5370000000003</v>
      </c>
      <c r="N14" s="49">
        <f>'1M2026-TSM'!M19</f>
        <v>-6508.190700000001</v>
      </c>
      <c r="O14" s="49">
        <f>'1M2026-TSM'!N19</f>
        <v>-7159.0097700000015</v>
      </c>
    </row>
    <row r="15" spans="2:15" x14ac:dyDescent="0.3">
      <c r="B15" s="52"/>
      <c r="C15" s="80">
        <v>2025</v>
      </c>
      <c r="D15" s="52">
        <v>2026</v>
      </c>
      <c r="E15" s="52">
        <v>2027</v>
      </c>
      <c r="F15" s="52">
        <v>2028</v>
      </c>
      <c r="G15" s="52">
        <v>2029</v>
      </c>
      <c r="J15" s="57" t="s">
        <v>109</v>
      </c>
      <c r="K15" s="79">
        <f>'1M2026-TSM'!J20</f>
        <v>30961</v>
      </c>
      <c r="L15" s="73">
        <f>'1M2026-TSM'!K20</f>
        <v>32753.89</v>
      </c>
      <c r="M15" s="73">
        <f>'1M2026-TSM'!L20</f>
        <v>34726.069000000003</v>
      </c>
      <c r="N15" s="73">
        <f>'1M2026-TSM'!M20</f>
        <v>36895.465900000003</v>
      </c>
      <c r="O15" s="73">
        <f>'1M2026-TSM'!N20</f>
        <v>39281.802490000002</v>
      </c>
    </row>
    <row r="16" spans="2:15" x14ac:dyDescent="0.3">
      <c r="B16" s="44" t="s">
        <v>24</v>
      </c>
      <c r="C16" s="79">
        <f>'1M2026-TSM'!C18</f>
        <v>2073</v>
      </c>
      <c r="D16" s="45">
        <f>'1M2026-TSM'!D18</f>
        <v>2073</v>
      </c>
      <c r="E16" s="45">
        <f>'1M2026-TSM'!E18</f>
        <v>2073</v>
      </c>
      <c r="F16" s="45">
        <f>'1M2026-TSM'!F18</f>
        <v>2073</v>
      </c>
      <c r="G16" s="45">
        <f>'1M2026-TSM'!G18</f>
        <v>2073</v>
      </c>
    </row>
    <row r="17" spans="2:11" x14ac:dyDescent="0.3">
      <c r="B17" s="53" t="s">
        <v>25</v>
      </c>
      <c r="C17" s="79">
        <f>'1M2026-TSM'!C19</f>
        <v>93745</v>
      </c>
      <c r="D17" s="67">
        <f>'1M2026-TSM'!D19</f>
        <v>106292.36137600002</v>
      </c>
      <c r="E17" s="67">
        <f>'1M2026-TSM'!E19</f>
        <v>120094.45888960001</v>
      </c>
      <c r="F17" s="67">
        <f>'1M2026-TSM'!F19</f>
        <v>135276.76615456</v>
      </c>
      <c r="G17" s="67">
        <f>'1M2026-TSM'!G19</f>
        <v>151977.30414601599</v>
      </c>
      <c r="J17" s="60" t="s">
        <v>129</v>
      </c>
      <c r="K17" s="60" t="s">
        <v>132</v>
      </c>
    </row>
    <row r="18" spans="2:11" x14ac:dyDescent="0.3">
      <c r="B18" s="44" t="s">
        <v>71</v>
      </c>
      <c r="C18" s="79">
        <f>'1M2026-TSM'!C20</f>
        <v>8227</v>
      </c>
      <c r="D18" s="45">
        <f>'1M2026-TSM'!D20</f>
        <v>9707.8599999999988</v>
      </c>
      <c r="E18" s="45">
        <f>'1M2026-TSM'!E20</f>
        <v>11455.274799999997</v>
      </c>
      <c r="F18" s="45">
        <f>'1M2026-TSM'!F20</f>
        <v>13517.224263999997</v>
      </c>
      <c r="G18" s="45">
        <f>'1M2026-TSM'!G20</f>
        <v>15950.324631519996</v>
      </c>
      <c r="J18" s="43" t="s">
        <v>133</v>
      </c>
      <c r="K18" s="117">
        <f>'1M2026-TSM'!J24</f>
        <v>0.1</v>
      </c>
    </row>
    <row r="19" spans="2:11" x14ac:dyDescent="0.3">
      <c r="B19" s="53" t="s">
        <v>72</v>
      </c>
      <c r="C19" s="79">
        <f>'1M2026-TSM'!C21</f>
        <v>43750</v>
      </c>
      <c r="D19" s="67">
        <f>'1M2026-TSM'!D21</f>
        <v>50200.920000000006</v>
      </c>
      <c r="E19" s="67">
        <f>'1M2026-TSM'!E21</f>
        <v>55221.01200000001</v>
      </c>
      <c r="F19" s="67">
        <f>'1M2026-TSM'!F21</f>
        <v>60743.113200000014</v>
      </c>
      <c r="G19" s="67">
        <f>'1M2026-TSM'!G21</f>
        <v>66817.424520000015</v>
      </c>
      <c r="J19" s="113" t="s">
        <v>122</v>
      </c>
      <c r="K19" s="118">
        <f>'1M2026-TSM'!J25</f>
        <v>0.76</v>
      </c>
    </row>
    <row r="20" spans="2:11" x14ac:dyDescent="0.3">
      <c r="B20" s="69" t="s">
        <v>26</v>
      </c>
      <c r="C20" s="79">
        <f>'1M2026-TSM'!C22</f>
        <v>147795</v>
      </c>
      <c r="D20" s="70">
        <f>'1M2026-TSM'!D22</f>
        <v>168274.14137600001</v>
      </c>
      <c r="E20" s="70">
        <f>'1M2026-TSM'!E22</f>
        <v>188843.74568960001</v>
      </c>
      <c r="F20" s="70">
        <f>'1M2026-TSM'!F22</f>
        <v>211610.10361856001</v>
      </c>
      <c r="G20" s="70">
        <f>'1M2026-TSM'!G22</f>
        <v>236818.05329753598</v>
      </c>
      <c r="J20" s="43" t="s">
        <v>123</v>
      </c>
      <c r="K20" s="117">
        <f>'1M2026-TSM'!J26</f>
        <v>0.03</v>
      </c>
    </row>
    <row r="21" spans="2:11" x14ac:dyDescent="0.3">
      <c r="B21" s="71" t="s">
        <v>97</v>
      </c>
      <c r="C21" s="79">
        <f>'1M2026-TSM'!C33</f>
        <v>0</v>
      </c>
      <c r="D21" s="68">
        <f>'1M2026-TSM'!D33</f>
        <v>0</v>
      </c>
      <c r="E21" s="68">
        <f>'1M2026-TSM'!E33</f>
        <v>0</v>
      </c>
      <c r="F21" s="68">
        <f>'1M2026-TSM'!F33</f>
        <v>0</v>
      </c>
      <c r="G21" s="72">
        <f>'1M2026-TSM'!G33</f>
        <v>0</v>
      </c>
      <c r="J21" s="113" t="s">
        <v>134</v>
      </c>
      <c r="K21" s="118">
        <f>'1M2026-TSM'!J27</f>
        <v>0.28000000000000003</v>
      </c>
    </row>
    <row r="22" spans="2:11" x14ac:dyDescent="0.3">
      <c r="B22" s="77" t="s">
        <v>155</v>
      </c>
      <c r="J22" s="43"/>
      <c r="K22" s="43"/>
    </row>
    <row r="23" spans="2:11" x14ac:dyDescent="0.3">
      <c r="B23" s="61" t="s">
        <v>150</v>
      </c>
      <c r="C23" s="80">
        <v>2025</v>
      </c>
      <c r="D23" s="61">
        <v>2026</v>
      </c>
      <c r="E23" s="61">
        <v>2027</v>
      </c>
      <c r="F23" s="61">
        <v>2028</v>
      </c>
      <c r="G23" s="61">
        <v>2029</v>
      </c>
      <c r="J23" s="113" t="s">
        <v>124</v>
      </c>
      <c r="K23" s="114">
        <f>'1M2026-TSM'!J29</f>
        <v>2073</v>
      </c>
    </row>
    <row r="24" spans="2:11" x14ac:dyDescent="0.3">
      <c r="B24" s="50" t="s">
        <v>139</v>
      </c>
      <c r="C24" s="79">
        <f>'1M2026-TSM'!C25</f>
        <v>12592</v>
      </c>
      <c r="D24" s="51">
        <f>'1M2026-TSM'!D25</f>
        <v>28665.741375999998</v>
      </c>
      <c r="E24" s="51">
        <f>'1M2026-TSM'!E25</f>
        <v>37087.454089600003</v>
      </c>
      <c r="F24" s="51">
        <f>'1M2026-TSM'!F25</f>
        <v>46306.819562559998</v>
      </c>
      <c r="G24" s="51">
        <f>'1M2026-TSM'!G25</f>
        <v>56310.259142175993</v>
      </c>
      <c r="J24" s="43" t="s">
        <v>135</v>
      </c>
      <c r="K24" s="117">
        <f>'1M2026-TSM'!J30</f>
        <v>0.18</v>
      </c>
    </row>
    <row r="25" spans="2:11" x14ac:dyDescent="0.3">
      <c r="B25" s="62" t="s">
        <v>27</v>
      </c>
      <c r="C25" s="79">
        <f>'1M2026-TSM'!C26</f>
        <v>30961</v>
      </c>
      <c r="D25" s="63">
        <f>'1M2026-TSM'!D26</f>
        <v>32753.89</v>
      </c>
      <c r="E25" s="63">
        <f>'1M2026-TSM'!E26</f>
        <v>34726.069000000003</v>
      </c>
      <c r="F25" s="63">
        <f>'1M2026-TSM'!F26</f>
        <v>36895.465900000003</v>
      </c>
      <c r="G25" s="63">
        <f>'1M2026-TSM'!G26</f>
        <v>39281.802490000002</v>
      </c>
      <c r="J25" s="113" t="s">
        <v>148</v>
      </c>
      <c r="K25" s="118">
        <f>'1M2026-TSM'!J31</f>
        <v>0.28000000000000003</v>
      </c>
    </row>
    <row r="26" spans="2:11" x14ac:dyDescent="0.3">
      <c r="B26" s="50" t="s">
        <v>28</v>
      </c>
      <c r="C26" s="79">
        <f>'1M2026-TSM'!C27</f>
        <v>814</v>
      </c>
      <c r="D26" s="51">
        <f>'1M2026-TSM'!D27</f>
        <v>1221</v>
      </c>
      <c r="E26" s="51">
        <f>'1M2026-TSM'!E27</f>
        <v>1831.5</v>
      </c>
      <c r="F26" s="51">
        <f>'1M2026-TSM'!F27</f>
        <v>2747.25</v>
      </c>
      <c r="G26" s="51">
        <f>'1M2026-TSM'!G27</f>
        <v>4120.875</v>
      </c>
      <c r="J26" s="43" t="s">
        <v>149</v>
      </c>
      <c r="K26" s="117">
        <f>'1M2026-TSM'!J32</f>
        <v>0.64</v>
      </c>
    </row>
    <row r="27" spans="2:11" x14ac:dyDescent="0.3">
      <c r="B27" s="62" t="s">
        <v>29</v>
      </c>
      <c r="C27" s="79">
        <f>'1M2026-TSM'!C28</f>
        <v>23541</v>
      </c>
      <c r="D27" s="63">
        <f>'1M2026-TSM'!D28</f>
        <v>24953.460000000003</v>
      </c>
      <c r="E27" s="63">
        <f>'1M2026-TSM'!E28</f>
        <v>26450.667600000004</v>
      </c>
      <c r="F27" s="63">
        <f>'1M2026-TSM'!F28</f>
        <v>28037.707656000006</v>
      </c>
      <c r="G27" s="63">
        <f>'1M2026-TSM'!G28</f>
        <v>29719.970115360007</v>
      </c>
      <c r="J27" s="113"/>
      <c r="K27" s="118"/>
    </row>
    <row r="28" spans="2:11" x14ac:dyDescent="0.3">
      <c r="B28" s="50" t="s">
        <v>73</v>
      </c>
      <c r="C28" s="79">
        <f>'1M2026-TSM'!C29</f>
        <v>79887</v>
      </c>
      <c r="D28" s="51">
        <f>'1M2026-TSM'!D29</f>
        <v>80680.05</v>
      </c>
      <c r="E28" s="51">
        <f>'1M2026-TSM'!E29</f>
        <v>88748.055000000008</v>
      </c>
      <c r="F28" s="51">
        <f>'1M2026-TSM'!F29</f>
        <v>97622.86050000001</v>
      </c>
      <c r="G28" s="51">
        <f>'1M2026-TSM'!G29</f>
        <v>107385.14655000002</v>
      </c>
      <c r="J28" s="43" t="s">
        <v>136</v>
      </c>
      <c r="K28" s="117">
        <f>'1M2026-TSM'!J34</f>
        <v>0.05</v>
      </c>
    </row>
    <row r="29" spans="2:11" x14ac:dyDescent="0.3">
      <c r="B29" s="61" t="s">
        <v>26</v>
      </c>
      <c r="C29" s="79">
        <f>'1M2026-TSM'!C30</f>
        <v>147795</v>
      </c>
      <c r="D29" s="74">
        <f>'1M2026-TSM'!D30</f>
        <v>168274.14137600001</v>
      </c>
      <c r="E29" s="74">
        <f>'1M2026-TSM'!E30</f>
        <v>188843.74568960001</v>
      </c>
      <c r="F29" s="74">
        <f>'1M2026-TSM'!F30</f>
        <v>211610.10361856001</v>
      </c>
      <c r="G29" s="74">
        <f>'1M2026-TSM'!G30</f>
        <v>236818.05329753601</v>
      </c>
      <c r="J29" s="113" t="s">
        <v>137</v>
      </c>
      <c r="K29" s="118">
        <f>'1M2026-TSM'!J35</f>
        <v>0.06</v>
      </c>
    </row>
    <row r="30" spans="2:11" x14ac:dyDescent="0.3">
      <c r="B30" s="78" t="s">
        <v>141</v>
      </c>
      <c r="J30" s="43" t="s">
        <v>152</v>
      </c>
      <c r="K30" s="117">
        <f>'1M2026-TSM'!J36</f>
        <v>0.45</v>
      </c>
    </row>
    <row r="31" spans="2:11" x14ac:dyDescent="0.3">
      <c r="B31" s="64" t="s">
        <v>110</v>
      </c>
      <c r="C31" s="80">
        <v>2025</v>
      </c>
      <c r="D31" s="64">
        <v>2026</v>
      </c>
      <c r="E31" s="64">
        <v>2027</v>
      </c>
      <c r="F31" s="64">
        <v>2028</v>
      </c>
      <c r="G31" s="64">
        <v>2029</v>
      </c>
      <c r="J31" s="113" t="s">
        <v>138</v>
      </c>
      <c r="K31" s="118">
        <f>'1M2026-TSM'!J37</f>
        <v>0.04</v>
      </c>
    </row>
    <row r="32" spans="2:11" x14ac:dyDescent="0.3">
      <c r="B32" s="44" t="s">
        <v>142</v>
      </c>
      <c r="C32" s="79">
        <f>'1M2026-TSM'!C37</f>
        <v>0</v>
      </c>
      <c r="D32" s="45">
        <f>'1M2026-TSM'!D37</f>
        <v>34853.781600000009</v>
      </c>
      <c r="E32" s="45">
        <f>'1M2026-TSM'!E37</f>
        <v>38339.159760000017</v>
      </c>
      <c r="F32" s="45">
        <f>'1M2026-TSM'!F37</f>
        <v>42173.075735999999</v>
      </c>
      <c r="G32" s="45">
        <f>'1M2026-TSM'!G37</f>
        <v>46390.383309600002</v>
      </c>
    </row>
    <row r="33" spans="2:7" x14ac:dyDescent="0.3">
      <c r="B33" s="53" t="s">
        <v>143</v>
      </c>
      <c r="C33" s="79">
        <f>'1M2026-TSM'!C38</f>
        <v>0</v>
      </c>
      <c r="D33" s="67">
        <f>'1M2026-TSM'!D38</f>
        <v>5378.67</v>
      </c>
      <c r="E33" s="67">
        <f>'1M2026-TSM'!E38</f>
        <v>5916.5370000000003</v>
      </c>
      <c r="F33" s="67">
        <f>'1M2026-TSM'!F38</f>
        <v>6508.190700000001</v>
      </c>
      <c r="G33" s="67">
        <f>'1M2026-TSM'!G38</f>
        <v>7159.0097700000015</v>
      </c>
    </row>
    <row r="34" spans="2:7" x14ac:dyDescent="0.3">
      <c r="B34" s="44" t="s">
        <v>144</v>
      </c>
      <c r="C34" s="79">
        <f>'1M2026-TSM'!C39</f>
        <v>0</v>
      </c>
      <c r="D34" s="45">
        <f>'1M2026-TSM'!D39</f>
        <v>-793.05000000000291</v>
      </c>
      <c r="E34" s="45">
        <f>'1M2026-TSM'!E39</f>
        <v>-8068.0050000000047</v>
      </c>
      <c r="F34" s="45">
        <f>'1M2026-TSM'!F39</f>
        <v>-8874.8055000000022</v>
      </c>
      <c r="G34" s="45">
        <f>'1M2026-TSM'!G39</f>
        <v>-9762.2860500000097</v>
      </c>
    </row>
    <row r="35" spans="2:7" x14ac:dyDescent="0.3">
      <c r="B35" s="53" t="s">
        <v>119</v>
      </c>
      <c r="C35" s="79">
        <f>'1M2026-TSM'!C40</f>
        <v>0</v>
      </c>
      <c r="D35" s="67">
        <f>'1M2026-TSM'!D40</f>
        <v>6450.9200000000055</v>
      </c>
      <c r="E35" s="67">
        <f>'1M2026-TSM'!E40</f>
        <v>5020.0920000000042</v>
      </c>
      <c r="F35" s="67">
        <f>'1M2026-TSM'!F40</f>
        <v>5522.1012000000046</v>
      </c>
      <c r="G35" s="67">
        <f>'1M2026-TSM'!G40</f>
        <v>6074.3113200000007</v>
      </c>
    </row>
    <row r="36" spans="2:7" x14ac:dyDescent="0.3">
      <c r="B36" s="44" t="s">
        <v>120</v>
      </c>
      <c r="C36" s="79">
        <f>'1M2026-TSM'!C41</f>
        <v>0</v>
      </c>
      <c r="D36" s="45">
        <f>'1M2026-TSM'!D41</f>
        <v>45890.32160000001</v>
      </c>
      <c r="E36" s="45">
        <f>'1M2026-TSM'!E41</f>
        <v>41207.78376000002</v>
      </c>
      <c r="F36" s="45">
        <f>'1M2026-TSM'!F41</f>
        <v>45328.562136</v>
      </c>
      <c r="G36" s="45">
        <f>'1M2026-TSM'!G41</f>
        <v>49861.418349599997</v>
      </c>
    </row>
    <row r="37" spans="2:7" x14ac:dyDescent="0.3">
      <c r="B37" s="64" t="s">
        <v>145</v>
      </c>
      <c r="C37" s="79">
        <f>'1M2026-TSM'!C42</f>
        <v>0</v>
      </c>
      <c r="D37" s="75">
        <f>'1M2026-TSM'!D42</f>
        <v>0</v>
      </c>
      <c r="E37" s="75">
        <f>'1M2026-TSM'!E42</f>
        <v>0</v>
      </c>
      <c r="F37" s="75">
        <f>'1M2026-TSM'!F42</f>
        <v>0</v>
      </c>
      <c r="G37" s="75">
        <f>'1M2026-TSM'!G42</f>
        <v>0</v>
      </c>
    </row>
  </sheetData>
  <mergeCells count="2">
    <mergeCell ref="B2:O2"/>
    <mergeCell ref="J4:O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E5241-2D2C-48FC-8DA6-A7CDD5696474}">
  <dimension ref="A1"/>
  <sheetViews>
    <sheetView showGridLines="0" workbookViewId="0">
      <selection activeCell="U10" sqref="U1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Profit &amp; Loss</vt:lpstr>
      <vt:lpstr>Quarters</vt:lpstr>
      <vt:lpstr>Balance Sheet</vt:lpstr>
      <vt:lpstr>Cash Flow</vt:lpstr>
      <vt:lpstr>Customization</vt:lpstr>
      <vt:lpstr>Data Sheet</vt:lpstr>
      <vt:lpstr>Assumption Data</vt:lpstr>
      <vt:lpstr>1M2026-TSM</vt:lpstr>
      <vt:lpstr>Assumption Dashboard</vt:lpstr>
      <vt:lpstr>TSM Dashboard</vt:lpstr>
      <vt:lpstr>Sheet1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salman khan</cp:lastModifiedBy>
  <cp:lastPrinted>2012-12-06T18:14:13Z</cp:lastPrinted>
  <dcterms:created xsi:type="dcterms:W3CDTF">2012-08-17T09:55:37Z</dcterms:created>
  <dcterms:modified xsi:type="dcterms:W3CDTF">2026-06-11T10:40:03Z</dcterms:modified>
</cp:coreProperties>
</file>